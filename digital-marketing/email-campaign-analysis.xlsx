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25891190d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2919b95ddd34415"/>
    <x:sheet xmlns:r="http://schemas.openxmlformats.org/officeDocument/2006/relationships" name="Campaign Analysis" sheetId="2" r:id="Rf0035735a9ba477c"/>
    <x:sheet xmlns:r="http://schemas.openxmlformats.org/officeDocument/2006/relationships" name="Sample Data" sheetId="3" r:id="R7b306ace6890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d, yyyy"/>
    <x:numFmt numFmtId="201" formatCode="#,##0"/>
    <x:numFmt numFmtId="202" formatCode="$#,##0"/>
    <x:numFmt numFmtId="203" formatCode="mmm d"/>
    <x:numFmt numFmtId="204" formatCode="0.0%"/>
    <x:numFmt numFmtId="205" formatCode="$0.00"/>
  </x:numFmts>
  <x:fonts count="11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6"/>
      <x:color rgb="FFFFFFFF"/>
      <x:name val="Carlito"/>
    </x:font>
    <x:font>
      <x:i/>
      <x:sz val="10"/>
      <x:color rgb="FF202820"/>
      <x:name val="Carlito"/>
    </x:font>
    <x:font>
      <x:b/>
      <x:sz val="9"/>
      <x:color rgb="FFFFFFFF"/>
      <x:name val="Carlito"/>
    </x:font>
    <x:font>
      <x:i/>
      <x:sz val="10"/>
      <x:color rgb="FF7D431F"/>
      <x:name val="Carlito"/>
    </x:font>
    <x:font>
      <x:b/>
      <x:sz val="10"/>
      <x:color rgb="FF202820"/>
      <x:name val="Carlito"/>
    </x:font>
    <x:font>
      <x:b/>
      <x:sz val="15"/>
      <x:color rgb="FF245B45"/>
      <x:name val="Carlito"/>
    </x:font>
    <x:font>
      <x:b/>
      <x:sz val="11"/>
      <x:color rgb="FFFFFFFF"/>
      <x:name val="Carlito"/>
    </x:font>
    <x:font>
      <x:sz val="10"/>
      <x:color rgb="FF20282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45B45"/>
      </x:patternFill>
    </x:fill>
    <x:fill>
      <x:patternFill patternType="solid">
        <x:fgColor rgb="FFF5F4EF"/>
      </x:patternFill>
    </x:fill>
    <x:fill>
      <x:patternFill patternType="solid">
        <x:fgColor rgb="FFFFF3DF"/>
      </x:patternFill>
    </x:fill>
    <x:fill>
      <x:patternFill patternType="solid">
        <x:fgColor rgb="FFFFF0E7"/>
      </x:patternFill>
    </x:fill>
    <x:fill>
      <x:patternFill patternType="solid">
        <x:fgColor rgb="FFE8ECE4"/>
      </x:patternFill>
    </x:fill>
    <x:fill>
      <x:patternFill patternType="solid">
        <x:fgColor rgb="FFFFFEFA"/>
      </x:patternFill>
    </x:fill>
    <x:fill>
      <x:patternFill patternType="solid">
        <x:fgColor rgb="FF20282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205" fontId="2" fillId="0" borderId="0" xfId="0" applyNumberFormat="1" applyFont="1" applyFill="1" applyBorder="1" applyAlignment="1">
      <x:alignment vertical="center" wrapText="1"/>
    </x:xf>
    <x:xf numFmtId="204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 applyAlignment="1">
      <x:alignment horizontal="center"/>
    </x:xf>
    <x:xf numFmtId="202" fontId="8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1c294eb8542d3" /><Relationship Type="http://schemas.openxmlformats.org/officeDocument/2006/relationships/theme" Target="/xl/theme/theme1.xml" Id="R6789119d826e43b8" /><Relationship Type="http://schemas.openxmlformats.org/officeDocument/2006/relationships/sharedStrings" Target="/xl/sharedStrings.xml" Id="Rd6caad2c1abc466c" /><Relationship Type="http://schemas.openxmlformats.org/officeDocument/2006/relationships/worksheet" Target="/xl/worksheets/sheet1.xml" Id="R72919b95ddd34415" /><Relationship Type="http://schemas.openxmlformats.org/officeDocument/2006/relationships/worksheet" Target="/xl/worksheets/sheet2.xml" Id="Rf0035735a9ba477c" /><Relationship Type="http://schemas.openxmlformats.org/officeDocument/2006/relationships/worksheet" Target="/xl/worksheets/sheet3.xml" Id="R7b306ace68904975" /></Relationships>
</file>

<file path=xl/theme/theme1.xml><?xml version="1.0" encoding="utf-8"?>
<a:theme xmlns:a="http://schemas.openxmlformats.org/drawingml/2006/main" name="ChatGPT">
  <a:themeElements>
    <a:clrScheme name="Signal">
      <a:dk1>
        <a:srgbClr val="202820"/>
      </a:dk1>
      <a:lt1>
        <a:srgbClr val="FFFEFA"/>
      </a:lt1>
      <a:dk2>
        <a:srgbClr val="0E2841"/>
      </a:dk2>
      <a:lt2>
        <a:srgbClr val="F5F4EF"/>
      </a:lt2>
      <a:accent1>
        <a:srgbClr val="245B45"/>
      </a:accent1>
      <a:accent2>
        <a:srgbClr val="D7EF70"/>
      </a:accent2>
      <a:accent3>
        <a:srgbClr val="E78352"/>
      </a:accent3>
      <a:accent4>
        <a:srgbClr val="CADFF1"/>
      </a:accent4>
      <a:accent5>
        <a:srgbClr val="8077A2"/>
      </a:accent5>
      <a:accent6>
        <a:srgbClr val="DBDDD4"/>
      </a:accent6>
      <a:hlink>
        <a:srgbClr val="245B45"/>
      </a:hlink>
      <a:folHlink>
        <a:srgbClr val="8077A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gnal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6" hidden="0" customWidth="1"/>
    <x:col min="4" max="4" width="16" hidden="0" customWidth="1"/>
    <x:col min="5" max="5" width="14" hidden="0" customWidth="1"/>
    <x:col min="6" max="6" width="15" hidden="0" customWidth="1"/>
    <x:col min="7" max="7" width="15" hidden="0" customWidth="1"/>
    <x:col min="8" max="8" width="16" hidden="0" customWidth="1"/>
  </x:cols>
  <x:sheetData>
    <x:row r="1" ht="34" customHeight="1">
      <x:c r="A1" s="9" t="str">
        <x:v>NORTHSTAR COFFEE  /  EMAIL CAMPAIGN ANALYSIS</x:v>
      </x:c>
      <x:c r="B1" s="9"/>
      <x:c r="C1" s="9"/>
      <x:c r="D1" s="9"/>
      <x:c r="E1" s="9"/>
      <x:c r="F1" s="9"/>
      <x:c r="G1" s="9"/>
      <x:c r="H1" s="9"/>
    </x:row>
    <x:row r="2" ht="28" customHeight="1">
      <x:c r="A2" s="23" t="str">
        <x:v>Mailchimp-style portfolio case study  •  12 campaigns, 29 Jul–14 Oct 2026  •  Synthetic data only—not real account performance</x:v>
      </x:c>
      <x:c r="B2" s="23"/>
      <x:c r="C2" s="23"/>
      <x:c r="D2" s="23"/>
      <x:c r="E2" s="23"/>
      <x:c r="F2" s="23"/>
      <x:c r="G2" s="23"/>
      <x:c r="H2" s="23"/>
    </x:row>
    <x:row r="4" ht="34" customHeight="1">
      <x:c r="A4" s="26" t="str">
        <x:v>Emails sent</x:v>
      </x:c>
      <x:c r="B4" s="26" t="str">
        <x:v>Delivery rate</x:v>
      </x:c>
      <x:c r="C4" s="26" t="str">
        <x:v>Open rate*</x:v>
      </x:c>
      <x:c r="D4" s="26" t="str">
        <x:v>Click rate</x:v>
      </x:c>
      <x:c r="E4" s="26" t="str">
        <x:v>Orders</x:v>
      </x:c>
      <x:c r="F4" s="26" t="str">
        <x:v>Order rate</x:v>
      </x:c>
      <x:c r="G4" s="26" t="str">
        <x:v>Unsub rate</x:v>
      </x:c>
      <x:c r="H4" s="26" t="str">
        <x:v>Revenue</x:v>
      </x:c>
    </x:row>
    <x:row r="5" ht="40" customHeight="1">
      <x:c r="A5" s="29" t="n">
        <x:f>SUM('Sample Data'!G2:G37)</x:f>
        <x:v>93240</x:v>
      </x:c>
      <x:c r="B5" s="30" t="n">
        <x:f>IFERROR(SUM('Sample Data'!H2:H37)/SUM('Sample Data'!G2:G37),0)</x:f>
        <x:v>0.9777027027027027</x:v>
      </x:c>
      <x:c r="C5" s="30" t="n">
        <x:f>IFERROR(SUM('Sample Data'!I2:I37)/SUM('Sample Data'!H2:H37),0)</x:f>
        <x:v>0.4401333903752701</x:v>
      </x:c>
      <x:c r="D5" s="30" t="n">
        <x:f>IFERROR(SUM('Sample Data'!J2:J37)/SUM('Sample Data'!H2:H37),0)</x:f>
        <x:v>0.06264740404339575</x:v>
      </x:c>
      <x:c r="E5" s="29" t="n">
        <x:f>SUM('Sample Data'!K2:K37)</x:f>
        <x:v>886</x:v>
      </x:c>
      <x:c r="F5" s="30" t="n">
        <x:f>IFERROR(SUM('Sample Data'!K2:K37)/SUM('Sample Data'!H2:H37),0)</x:f>
        <x:v>0.009719068461293756</x:v>
      </x:c>
      <x:c r="G5" s="30" t="n">
        <x:f>IFERROR(SUM('Sample Data'!L2:L37)/SUM('Sample Data'!H2:H37),0)</x:f>
        <x:v>0.002643674378297737</x:v>
      </x:c>
      <x:c r="H5" s="31" t="n">
        <x:f>SUM('Sample Data'!M2:M37)</x:f>
        <x:v>41472</x:v>
      </x:c>
    </x:row>
    <x:row r="8">
      <x:c r="A8" s="33" t="str">
        <x:v>READ THE METRICS CAREFULLY</x:v>
      </x:c>
      <x:c r="B8" s="33"/>
      <x:c r="C8" s="33"/>
      <x:c r="D8" s="33"/>
      <x:c r="E8" s="33"/>
      <x:c r="F8" s="33"/>
      <x:c r="G8" s="33"/>
      <x:c r="H8" s="33"/>
    </x:row>
    <x:row r="9" ht="34" customHeight="1">
      <x:c r="A9" s="36" t="str">
        <x:v>Open rate* = unique opens ÷ delivered. Use as a directional diagnostic only: privacy features and machine opens can inflate it. Do not optimize on opens alone.</x:v>
      </x:c>
      <x:c r="B9" s="36"/>
      <x:c r="C9" s="36"/>
      <x:c r="D9" s="36"/>
      <x:c r="E9" s="36"/>
      <x:c r="F9" s="36"/>
      <x:c r="G9" s="36"/>
      <x:c r="H9" s="36"/>
    </x:row>
    <x:row r="10" ht="34" customHeight="1">
      <x:c r="A10" s="36" t="str">
        <x:v>Click rate = unique clicks ÷ delivered (CTOR = unique clicks ÷ unique opens). Keep the denominator consistent when comparing campaigns.</x:v>
      </x:c>
      <x:c r="B10" s="36"/>
      <x:c r="C10" s="36"/>
      <x:c r="D10" s="36"/>
      <x:c r="E10" s="36"/>
      <x:c r="F10" s="36"/>
      <x:c r="G10" s="36"/>
      <x:c r="H10" s="36"/>
    </x:row>
    <x:row r="11" ht="34" customHeight="1">
      <x:c r="A11" s="36" t="str">
        <x:v>Order rate = orders ÷ delivered. Unsubscribe rate = unsubscribes ÷ delivered. Revenue per delivered email helps compare value across sends of different sizes.</x:v>
      </x:c>
      <x:c r="B11" s="36"/>
      <x:c r="C11" s="36"/>
      <x:c r="D11" s="36"/>
      <x:c r="E11" s="36"/>
      <x:c r="F11" s="36"/>
      <x:c r="G11" s="36"/>
      <x:c r="H11" s="36"/>
    </x:row>
    <x:row r="12" ht="34" customHeight="1">
      <x:c r="A12" s="36" t="str">
        <x:v>The source data are simulated at campaign × audience-segment grain. Validate sending status, bot filtering, attribution window, currency, and segment definitions against a real Mailchimp export.</x:v>
      </x:c>
      <x:c r="B12" s="36"/>
      <x:c r="C12" s="36"/>
      <x:c r="D12" s="36"/>
      <x:c r="E12" s="36"/>
      <x:c r="F12" s="36"/>
      <x:c r="G12" s="36"/>
      <x:c r="H12" s="36"/>
    </x:row>
    <x:row r="14">
      <x:c r="A14" s="37" t="str">
        <x:v>WHAT TO LOOK FOR IN THE CAMPAIGN ANALYSIS TAB</x:v>
      </x:c>
      <x:c r="B14" s="37"/>
      <x:c r="C14" s="37"/>
      <x:c r="D14" s="37"/>
      <x:c r="E14" s="37"/>
      <x:c r="F14" s="37"/>
      <x:c r="G14" s="37"/>
      <x:c r="H14" s="37"/>
    </x:row>
    <x:row r="15" ht="32" customHeight="1">
      <x:c r="A15" s="36" t="str">
        <x:v>Compare click rate and order rate by campaign goal and audience segment; a high open rate alone does not show that a message moved readers to action.</x:v>
      </x:c>
      <x:c r="B15" s="36"/>
      <x:c r="C15" s="36"/>
      <x:c r="D15" s="36"/>
      <x:c r="E15" s="36"/>
      <x:c r="F15" s="36"/>
      <x:c r="G15" s="36"/>
      <x:c r="H15" s="36"/>
    </x:row>
    <x:row r="16" ht="32" customHeight="1">
      <x:c r="A16" s="36" t="str">
        <x:v>Review unsubscribe rate alongside frequency, offer, and audience eligibility. Without an agreed benchmark, the workbook flags no campaign as “good” or “bad.”</x:v>
      </x:c>
      <x:c r="B16" s="36"/>
      <x:c r="C16" s="36"/>
      <x:c r="D16" s="36"/>
      <x:c r="E16" s="36"/>
      <x:c r="F16" s="36"/>
      <x:c r="G16" s="36"/>
      <x:c r="H16" s="36"/>
    </x:row>
    <x:row r="17" ht="32" customHeight="1">
      <x:c r="A17" s="36" t="str">
        <x:v>Use the sample to practice analysis. Replace the Sample Data tab with a clean, consistently defined export before making business decisions.</x:v>
      </x:c>
      <x:c r="B17" s="36"/>
      <x:c r="C17" s="36"/>
      <x:c r="D17" s="36"/>
      <x:c r="E17" s="36"/>
      <x:c r="F17" s="36"/>
      <x:c r="G17" s="36"/>
      <x:c r="H17" s="36"/>
    </x:row>
  </x:sheetData>
  <x:mergeCells>
    <x:mergeCell ref="A1:H1"/>
    <x:mergeCell ref="A2:H2"/>
    <x:mergeCell ref="A8:H8"/>
    <x:mergeCell ref="A9:H9"/>
    <x:mergeCell ref="A10:H10"/>
    <x:mergeCell ref="A11:H11"/>
    <x:mergeCell ref="A12:H12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8" hidden="0" customWidth="1"/>
    <x:col min="4" max="4" width="17" hidden="0" customWidth="1"/>
    <x:col min="5" max="5" width="12" hidden="0" customWidth="1"/>
    <x:col min="6" max="6" width="13" hidden="0" customWidth="1"/>
    <x:col min="7" max="7" width="14" hidden="0" customWidth="1"/>
    <x:col min="8" max="8" width="14" hidden="0" customWidth="1"/>
    <x:col min="9" max="9" width="11" hidden="0" customWidth="1"/>
    <x:col min="10" max="10" width="14" hidden="0" customWidth="1"/>
    <x:col min="11" max="11" width="15" hidden="0" customWidth="1"/>
    <x:col min="12" max="12" width="13" hidden="0" customWidth="1"/>
    <x:col min="13" max="13" width="13" hidden="0" customWidth="1"/>
    <x:col min="14" max="14" width="12" hidden="0" customWidth="1"/>
    <x:col min="15" max="15" width="13" hidden="0" customWidth="1"/>
    <x:col min="16" max="16" width="12" hidden="0" customWidth="1"/>
    <x:col min="17" max="17" width="17" hidden="0" customWidth="1"/>
  </x:cols>
  <x:sheetData>
    <x:row r="1" ht="34" customHeight="1">
      <x:c r="A1" s="9" t="str">
        <x:v>NORTHSTAR COFFEE  /  CAMPAIGN PERFORMANCE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</x:row>
    <x:row r="2" ht="26" customHeight="1">
      <x:c r="A2" s="11" t="str">
        <x:v>Campaign-level totals rolled up across audience segments  •  All rates use delivered emails unless noted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42" customHeight="1">
      <x:c r="A4" s="13" t="str">
        <x:v>Campaign</x:v>
      </x:c>
      <x:c r="B4" s="13" t="str">
        <x:v>Send date</x:v>
      </x:c>
      <x:c r="C4" s="13" t="str">
        <x:v>Type</x:v>
      </x:c>
      <x:c r="D4" s="13" t="str">
        <x:v>Goal</x:v>
      </x:c>
      <x:c r="E4" s="13" t="str">
        <x:v>Sent</x:v>
      </x:c>
      <x:c r="F4" s="13" t="str">
        <x:v>Delivered</x:v>
      </x:c>
      <x:c r="G4" s="13" t="str">
        <x:v>Unique opens</x:v>
      </x:c>
      <x:c r="H4" s="13" t="str">
        <x:v>Unique clicks</x:v>
      </x:c>
      <x:c r="I4" s="13" t="str">
        <x:v>Orders</x:v>
      </x:c>
      <x:c r="J4" s="13" t="str">
        <x:v>Unsubscribes</x:v>
      </x:c>
      <x:c r="K4" s="13" t="str">
        <x:v>Revenue</x:v>
      </x:c>
      <x:c r="L4" s="13" t="str">
        <x:v>Open rate*</x:v>
      </x:c>
      <x:c r="M4" s="13" t="str">
        <x:v>Click rate</x:v>
      </x:c>
      <x:c r="N4" s="13" t="str">
        <x:v>CTOR*</x:v>
      </x:c>
      <x:c r="O4" s="13" t="str">
        <x:v>Order rate</x:v>
      </x:c>
      <x:c r="P4" s="13" t="str">
        <x:v>Unsub rate</x:v>
      </x:c>
      <x:c r="Q4" s="13" t="str">
        <x:v>Revenue / delivered</x:v>
      </x:c>
    </x:row>
    <x:row r="5" ht="34" customHeight="1">
      <x:c r="A5" s="15" t="str">
        <x:v>Welcome Series — Origin Story</x:v>
      </x:c>
      <x:c r="B5" s="16" t="d">
        <x:v>2026-07-29T00:00:00.000Z</x:v>
      </x:c>
      <x:c r="C5" s="15" t="str">
        <x:v>Welcome</x:v>
      </x:c>
      <x:c r="D5" s="15" t="str">
        <x:v>Awareness</x:v>
      </x:c>
      <x:c r="E5" s="17" t="n">
        <x:f>SUMIFS('Sample Data'!$G$2:$G$37,'Sample Data'!$A$2:$A$37,$A5)</x:f>
        <x:v>7200</x:v>
      </x:c>
      <x:c r="F5" s="17" t="n">
        <x:f>SUMIFS('Sample Data'!$H$2:$H$37,'Sample Data'!$A$2:$A$37,$A5)</x:f>
        <x:v>7039</x:v>
      </x:c>
      <x:c r="G5" s="17" t="n">
        <x:f>SUMIFS('Sample Data'!$I$2:$I$37,'Sample Data'!$A$2:$A$37,$A5)</x:f>
        <x:v>3078</x:v>
      </x:c>
      <x:c r="H5" s="17" t="n">
        <x:f>SUMIFS('Sample Data'!$J$2:$J$37,'Sample Data'!$A$2:$A$37,$A5)</x:f>
        <x:v>407</x:v>
      </x:c>
      <x:c r="I5" s="17" t="n">
        <x:f>SUMIFS('Sample Data'!$K$2:$K$37,'Sample Data'!$A$2:$A$37,$A5)</x:f>
        <x:v>60</x:v>
      </x:c>
      <x:c r="J5" s="17" t="n">
        <x:f>SUMIFS('Sample Data'!$L$2:$L$37,'Sample Data'!$A$2:$A$37,$A5)</x:f>
        <x:v>18</x:v>
      </x:c>
      <x:c r="K5" s="17" t="n">
        <x:f>SUMIFS('Sample Data'!$M$2:$M$37,'Sample Data'!$A$2:$A$37,$A5)</x:f>
        <x:v>2808</x:v>
      </x:c>
      <x:c r="L5" s="20" t="n">
        <x:f>IFERROR(G5/F5,0)</x:f>
        <x:v>0.4372780224463702</x:v>
      </x:c>
      <x:c r="M5" s="18" t="n">
        <x:f>IFERROR(H5/F5,0)</x:f>
        <x:v>0.057820713169484304</x:v>
      </x:c>
      <x:c r="N5" s="20" t="n">
        <x:f>IFERROR(H5/G5,0)</x:f>
        <x:v>0.1322287199480182</x:v>
      </x:c>
      <x:c r="O5" s="18" t="n">
        <x:f>IFERROR(I5/F5,0)</x:f>
        <x:v>0.008523938059383436</x:v>
      </x:c>
      <x:c r="P5" s="18" t="n">
        <x:f>IFERROR(J5/F5,0)</x:f>
        <x:v>0.0025571814178150304</x:v>
      </x:c>
      <x:c r="Q5" s="19" t="n">
        <x:f>IFERROR(K5/F5,0)</x:f>
        <x:v>0.3989203011791448</x:v>
      </x:c>
    </x:row>
    <x:row r="6" ht="34" customHeight="1">
      <x:c r="A6" s="15" t="str">
        <x:v>Brew Guide — Pour-over Basics</x:v>
      </x:c>
      <x:c r="B6" s="16" t="d">
        <x:v>2026-08-05T00:00:00.000Z</x:v>
      </x:c>
      <x:c r="C6" s="15" t="str">
        <x:v>Education</x:v>
      </x:c>
      <x:c r="D6" s="15" t="str">
        <x:v>Engagement</x:v>
      </x:c>
      <x:c r="E6" s="17" t="n">
        <x:f>SUMIFS('Sample Data'!$G$2:$G$37,'Sample Data'!$A$2:$A$37,$A6)</x:f>
        <x:v>8340</x:v>
      </x:c>
      <x:c r="F6" s="17" t="n">
        <x:f>SUMIFS('Sample Data'!$H$2:$H$37,'Sample Data'!$A$2:$A$37,$A6)</x:f>
        <x:v>8154</x:v>
      </x:c>
      <x:c r="G6" s="17" t="n">
        <x:f>SUMIFS('Sample Data'!$I$2:$I$37,'Sample Data'!$A$2:$A$37,$A6)</x:f>
        <x:v>3606</x:v>
      </x:c>
      <x:c r="H6" s="17" t="n">
        <x:f>SUMIFS('Sample Data'!$J$2:$J$37,'Sample Data'!$A$2:$A$37,$A6)</x:f>
        <x:v>539</x:v>
      </x:c>
      <x:c r="I6" s="17" t="n">
        <x:f>SUMIFS('Sample Data'!$K$2:$K$37,'Sample Data'!$A$2:$A$37,$A6)</x:f>
        <x:v>79</x:v>
      </x:c>
      <x:c r="J6" s="17" t="n">
        <x:f>SUMIFS('Sample Data'!$L$2:$L$37,'Sample Data'!$A$2:$A$37,$A6)</x:f>
        <x:v>21</x:v>
      </x:c>
      <x:c r="K6" s="17" t="n">
        <x:f>SUMIFS('Sample Data'!$M$2:$M$37,'Sample Data'!$A$2:$A$37,$A6)</x:f>
        <x:v>3694</x:v>
      </x:c>
      <x:c r="L6" s="20" t="n">
        <x:f>IFERROR(G6/F6,0)</x:f>
        <x:v>0.44223693892568067</x:v>
      </x:c>
      <x:c r="M6" s="18" t="n">
        <x:f>IFERROR(H6/F6,0)</x:f>
        <x:v>0.06610252636742703</x:v>
      </x:c>
      <x:c r="N6" s="20" t="n">
        <x:f>IFERROR(H6/G6,0)</x:f>
        <x:v>0.14947310038824183</x:v>
      </x:c>
      <x:c r="O6" s="18" t="n">
        <x:f>IFERROR(I6/F6,0)</x:f>
        <x:v>0.009688496443463332</x:v>
      </x:c>
      <x:c r="P6" s="18" t="n">
        <x:f>IFERROR(J6/F6,0)</x:f>
        <x:v>0.0025754231052244297</x:v>
      </x:c>
      <x:c r="Q6" s="19" t="n">
        <x:f>IFERROR(K6/F6,0)</x:f>
        <x:v>0.4530291881285259</x:v>
      </x:c>
    </x:row>
    <x:row r="7" ht="34" customHeight="1">
      <x:c r="A7" s="15" t="str">
        <x:v>Subscription — Choose Your Cadence</x:v>
      </x:c>
      <x:c r="B7" s="16" t="d">
        <x:v>2026-08-12T00:00:00.000Z</x:v>
      </x:c>
      <x:c r="C7" s="15" t="str">
        <x:v>Product</x:v>
      </x:c>
      <x:c r="D7" s="15" t="str">
        <x:v>Subscription</x:v>
      </x:c>
      <x:c r="E7" s="17" t="n">
        <x:f>SUMIFS('Sample Data'!$G$2:$G$37,'Sample Data'!$A$2:$A$37,$A7)</x:f>
        <x:v>7960</x:v>
      </x:c>
      <x:c r="F7" s="17" t="n">
        <x:f>SUMIFS('Sample Data'!$H$2:$H$37,'Sample Data'!$A$2:$A$37,$A7)</x:f>
        <x:v>7782</x:v>
      </x:c>
      <x:c r="G7" s="17" t="n">
        <x:f>SUMIFS('Sample Data'!$I$2:$I$37,'Sample Data'!$A$2:$A$37,$A7)</x:f>
        <x:v>3364</x:v>
      </x:c>
      <x:c r="H7" s="17" t="n">
        <x:f>SUMIFS('Sample Data'!$J$2:$J$37,'Sample Data'!$A$2:$A$37,$A7)</x:f>
        <x:v>505</x:v>
      </x:c>
      <x:c r="I7" s="17" t="n">
        <x:f>SUMIFS('Sample Data'!$K$2:$K$37,'Sample Data'!$A$2:$A$37,$A7)</x:f>
        <x:v>82</x:v>
      </x:c>
      <x:c r="J7" s="17" t="n">
        <x:f>SUMIFS('Sample Data'!$L$2:$L$37,'Sample Data'!$A$2:$A$37,$A7)</x:f>
        <x:v>21</x:v>
      </x:c>
      <x:c r="K7" s="17" t="n">
        <x:f>SUMIFS('Sample Data'!$M$2:$M$37,'Sample Data'!$A$2:$A$37,$A7)</x:f>
        <x:v>3840</x:v>
      </x:c>
      <x:c r="L7" s="20" t="n">
        <x:f>IFERROR(G7/F7,0)</x:f>
        <x:v>0.43227961963505523</x:v>
      </x:c>
      <x:c r="M7" s="18" t="n">
        <x:f>IFERROR(H7/F7,0)</x:f>
        <x:v>0.06489334361346698</x:v>
      </x:c>
      <x:c r="N7" s="20" t="n">
        <x:f>IFERROR(H7/G7,0)</x:f>
        <x:v>0.15011890606420927</x:v>
      </x:c>
      <x:c r="O7" s="18" t="n">
        <x:f>IFERROR(I7/F7,0)</x:f>
        <x:v>0.010537136982780776</x:v>
      </x:c>
      <x:c r="P7" s="18" t="n">
        <x:f>IFERROR(J7/F7,0)</x:f>
        <x:v>0.0026985350809560524</x:v>
      </x:c>
      <x:c r="Q7" s="19" t="n">
        <x:f>IFERROR(K7/F7,0)</x:f>
        <x:v>0.49344641480339246</x:v>
      </x:c>
    </x:row>
    <x:row r="8" ht="34" customHeight="1">
      <x:c r="A8" s="15" t="str">
        <x:v>Single Origin — New Arrival</x:v>
      </x:c>
      <x:c r="B8" s="16" t="d">
        <x:v>2026-08-19T00:00:00.000Z</x:v>
      </x:c>
      <x:c r="C8" s="15" t="str">
        <x:v>Product launch</x:v>
      </x:c>
      <x:c r="D8" s="15" t="str">
        <x:v>Purchase</x:v>
      </x:c>
      <x:c r="E8" s="17" t="n">
        <x:f>SUMIFS('Sample Data'!$G$2:$G$37,'Sample Data'!$A$2:$A$37,$A8)</x:f>
        <x:v>7580</x:v>
      </x:c>
      <x:c r="F8" s="17" t="n">
        <x:f>SUMIFS('Sample Data'!$H$2:$H$37,'Sample Data'!$A$2:$A$37,$A8)</x:f>
        <x:v>7412</x:v>
      </x:c>
      <x:c r="G8" s="17" t="n">
        <x:f>SUMIFS('Sample Data'!$I$2:$I$37,'Sample Data'!$A$2:$A$37,$A8)</x:f>
        <x:v>3352</x:v>
      </x:c>
      <x:c r="H8" s="17" t="n">
        <x:f>SUMIFS('Sample Data'!$J$2:$J$37,'Sample Data'!$A$2:$A$37,$A8)</x:f>
        <x:v>506</x:v>
      </x:c>
      <x:c r="I8" s="17" t="n">
        <x:f>SUMIFS('Sample Data'!$K$2:$K$37,'Sample Data'!$A$2:$A$37,$A8)</x:f>
        <x:v>82</x:v>
      </x:c>
      <x:c r="J8" s="17" t="n">
        <x:f>SUMIFS('Sample Data'!$L$2:$L$37,'Sample Data'!$A$2:$A$37,$A8)</x:f>
        <x:v>19</x:v>
      </x:c>
      <x:c r="K8" s="17" t="n">
        <x:f>SUMIFS('Sample Data'!$M$2:$M$37,'Sample Data'!$A$2:$A$37,$A8)</x:f>
        <x:v>3840</x:v>
      </x:c>
      <x:c r="L8" s="20" t="n">
        <x:f>IFERROR(G8/F8,0)</x:f>
        <x:v>0.45223961144090663</x:v>
      </x:c>
      <x:c r="M8" s="18" t="n">
        <x:f>IFERROR(H8/F8,0)</x:f>
        <x:v>0.0682676740420939</x:v>
      </x:c>
      <x:c r="N8" s="20" t="n">
        <x:f>IFERROR(H8/G8,0)</x:f>
        <x:v>0.1509546539379475</x:v>
      </x:c>
      <x:c r="O8" s="18" t="n">
        <x:f>IFERROR(I8/F8,0)</x:f>
        <x:v>0.011063140852671344</x:v>
      </x:c>
      <x:c r="P8" s="18" t="n">
        <x:f>IFERROR(J8/F8,0)</x:f>
        <x:v>0.0025634106853750674</x:v>
      </x:c>
      <x:c r="Q8" s="19" t="n">
        <x:f>IFERROR(K8/F8,0)</x:f>
        <x:v>0.5180787911494873</x:v>
      </x:c>
    </x:row>
    <x:row r="9" ht="34" customHeight="1">
      <x:c r="A9" s="15" t="str">
        <x:v>Brew Guide — Coffee Storage</x:v>
      </x:c>
      <x:c r="B9" s="16" t="d">
        <x:v>2026-08-26T00:00:00.000Z</x:v>
      </x:c>
      <x:c r="C9" s="15" t="str">
        <x:v>Education</x:v>
      </x:c>
      <x:c r="D9" s="15" t="str">
        <x:v>Engagement</x:v>
      </x:c>
      <x:c r="E9" s="17" t="n">
        <x:f>SUMIFS('Sample Data'!$G$2:$G$37,'Sample Data'!$A$2:$A$37,$A9)</x:f>
        <x:v>7200</x:v>
      </x:c>
      <x:c r="F9" s="17" t="n">
        <x:f>SUMIFS('Sample Data'!$H$2:$H$37,'Sample Data'!$A$2:$A$37,$A9)</x:f>
        <x:v>7039</x:v>
      </x:c>
      <x:c r="G9" s="17" t="n">
        <x:f>SUMIFS('Sample Data'!$I$2:$I$37,'Sample Data'!$A$2:$A$37,$A9)</x:f>
        <x:v>3113</x:v>
      </x:c>
      <x:c r="H9" s="17" t="n">
        <x:f>SUMIFS('Sample Data'!$J$2:$J$37,'Sample Data'!$A$2:$A$37,$A9)</x:f>
        <x:v>439</x:v>
      </x:c>
      <x:c r="I9" s="17" t="n">
        <x:f>SUMIFS('Sample Data'!$K$2:$K$37,'Sample Data'!$A$2:$A$37,$A9)</x:f>
        <x:v>65</x:v>
      </x:c>
      <x:c r="J9" s="17" t="n">
        <x:f>SUMIFS('Sample Data'!$L$2:$L$37,'Sample Data'!$A$2:$A$37,$A9)</x:f>
        <x:v>18</x:v>
      </x:c>
      <x:c r="K9" s="17" t="n">
        <x:f>SUMIFS('Sample Data'!$M$2:$M$37,'Sample Data'!$A$2:$A$37,$A9)</x:f>
        <x:v>3042</x:v>
      </x:c>
      <x:c r="L9" s="20" t="n">
        <x:f>IFERROR(G9/F9,0)</x:f>
        <x:v>0.44225031964767725</x:v>
      </x:c>
      <x:c r="M9" s="18" t="n">
        <x:f>IFERROR(H9/F9,0)</x:f>
        <x:v>0.062366813467822135</x:v>
      </x:c>
      <x:c r="N9" s="20" t="n">
        <x:f>IFERROR(H9/G9,0)</x:f>
        <x:v>0.14102152264696435</x:v>
      </x:c>
      <x:c r="O9" s="18" t="n">
        <x:f>IFERROR(I9/F9,0)</x:f>
        <x:v>0.009234266230998722</x:v>
      </x:c>
      <x:c r="P9" s="18" t="n">
        <x:f>IFERROR(J9/F9,0)</x:f>
        <x:v>0.0025571814178150304</x:v>
      </x:c>
      <x:c r="Q9" s="19" t="n">
        <x:f>IFERROR(K9/F9,0)</x:f>
        <x:v>0.43216365961074016</x:v>
      </x:c>
    </x:row>
    <x:row r="10" ht="34" customHeight="1">
      <x:c r="A10" s="15" t="str">
        <x:v>Community — Your Coffee Ritual</x:v>
      </x:c>
      <x:c r="B10" s="16" t="d">
        <x:v>2026-09-02T00:00:00.000Z</x:v>
      </x:c>
      <x:c r="C10" s="15" t="str">
        <x:v>Community</x:v>
      </x:c>
      <x:c r="D10" s="15" t="str">
        <x:v>Engagement</x:v>
      </x:c>
      <x:c r="E10" s="17" t="n">
        <x:f>SUMIFS('Sample Data'!$G$2:$G$37,'Sample Data'!$A$2:$A$37,$A10)</x:f>
        <x:v>8340</x:v>
      </x:c>
      <x:c r="F10" s="17" t="n">
        <x:f>SUMIFS('Sample Data'!$H$2:$H$37,'Sample Data'!$A$2:$A$37,$A10)</x:f>
        <x:v>8154</x:v>
      </x:c>
      <x:c r="G10" s="17" t="n">
        <x:f>SUMIFS('Sample Data'!$I$2:$I$37,'Sample Data'!$A$2:$A$37,$A10)</x:f>
        <x:v>3525</x:v>
      </x:c>
      <x:c r="H10" s="17" t="n">
        <x:f>SUMIFS('Sample Data'!$J$2:$J$37,'Sample Data'!$A$2:$A$37,$A10)</x:f>
        <x:v>425</x:v>
      </x:c>
      <x:c r="I10" s="17" t="n">
        <x:f>SUMIFS('Sample Data'!$K$2:$K$37,'Sample Data'!$A$2:$A$37,$A10)</x:f>
        <x:v>61</x:v>
      </x:c>
      <x:c r="J10" s="17" t="n">
        <x:f>SUMIFS('Sample Data'!$L$2:$L$37,'Sample Data'!$A$2:$A$37,$A10)</x:f>
        <x:v>21</x:v>
      </x:c>
      <x:c r="K10" s="17" t="n">
        <x:f>SUMIFS('Sample Data'!$M$2:$M$37,'Sample Data'!$A$2:$A$37,$A10)</x:f>
        <x:v>2862</x:v>
      </x:c>
      <x:c r="L10" s="20" t="n">
        <x:f>IFERROR(G10/F10,0)</x:f>
        <x:v>0.4323031640912436</x:v>
      </x:c>
      <x:c r="M10" s="18" t="n">
        <x:f>IFERROR(H10/F10,0)</x:f>
        <x:v>0.052121658081922984</x:v>
      </x:c>
      <x:c r="N10" s="20" t="n">
        <x:f>IFERROR(H10/G10,0)</x:f>
        <x:v>0.12056737588652482</x:v>
      </x:c>
      <x:c r="O10" s="18" t="n">
        <x:f>IFERROR(I10/F10,0)</x:f>
        <x:v>0.007480990924699534</x:v>
      </x:c>
      <x:c r="P10" s="18" t="n">
        <x:f>IFERROR(J10/F10,0)</x:f>
        <x:v>0.0025754231052244297</x:v>
      </x:c>
      <x:c r="Q10" s="19" t="n">
        <x:f>IFERROR(K10/F10,0)</x:f>
        <x:v>0.3509933774834437</x:v>
      </x:c>
    </x:row>
    <x:row r="11" ht="34" customHeight="1">
      <x:c r="A11" s="15" t="str">
        <x:v>Subscription — Gift a Coffee Routine</x:v>
      </x:c>
      <x:c r="B11" s="16" t="d">
        <x:v>2026-09-09T00:00:00.000Z</x:v>
      </x:c>
      <x:c r="C11" s="15" t="str">
        <x:v>Product</x:v>
      </x:c>
      <x:c r="D11" s="15" t="str">
        <x:v>Gift purchase</x:v>
      </x:c>
      <x:c r="E11" s="17" t="n">
        <x:f>SUMIFS('Sample Data'!$G$2:$G$37,'Sample Data'!$A$2:$A$37,$A11)</x:f>
        <x:v>7960</x:v>
      </x:c>
      <x:c r="F11" s="17" t="n">
        <x:f>SUMIFS('Sample Data'!$H$2:$H$37,'Sample Data'!$A$2:$A$37,$A11)</x:f>
        <x:v>7782</x:v>
      </x:c>
      <x:c r="G11" s="17" t="n">
        <x:f>SUMIFS('Sample Data'!$I$2:$I$37,'Sample Data'!$A$2:$A$37,$A11)</x:f>
        <x:v>3402</x:v>
      </x:c>
      <x:c r="H11" s="17" t="n">
        <x:f>SUMIFS('Sample Data'!$J$2:$J$37,'Sample Data'!$A$2:$A$37,$A11)</x:f>
        <x:v>486</x:v>
      </x:c>
      <x:c r="I11" s="17" t="n">
        <x:f>SUMIFS('Sample Data'!$K$2:$K$37,'Sample Data'!$A$2:$A$37,$A11)</x:f>
        <x:v>72</x:v>
      </x:c>
      <x:c r="J11" s="17" t="n">
        <x:f>SUMIFS('Sample Data'!$L$2:$L$37,'Sample Data'!$A$2:$A$37,$A11)</x:f>
        <x:v>21</x:v>
      </x:c>
      <x:c r="K11" s="17" t="n">
        <x:f>SUMIFS('Sample Data'!$M$2:$M$37,'Sample Data'!$A$2:$A$37,$A11)</x:f>
        <x:v>3368</x:v>
      </x:c>
      <x:c r="L11" s="20" t="n">
        <x:f>IFERROR(G11/F11,0)</x:f>
        <x:v>0.4371626831148805</x:v>
      </x:c>
      <x:c r="M11" s="18" t="n">
        <x:f>IFERROR(H11/F11,0)</x:f>
        <x:v>0.06245181187355436</x:v>
      </x:c>
      <x:c r="N11" s="20" t="n">
        <x:f>IFERROR(H11/G11,0)</x:f>
        <x:v>0.14285714285714285</x:v>
      </x:c>
      <x:c r="O11" s="18" t="n">
        <x:f>IFERROR(I11/F11,0)</x:f>
        <x:v>0.009252120277563608</x:v>
      </x:c>
      <x:c r="P11" s="18" t="n">
        <x:f>IFERROR(J11/F11,0)</x:f>
        <x:v>0.0026985350809560524</x:v>
      </x:c>
      <x:c r="Q11" s="19" t="n">
        <x:f>IFERROR(K11/F11,0)</x:f>
        <x:v>0.43279362631714213</x:v>
      </x:c>
    </x:row>
    <x:row r="12" ht="34" customHeight="1">
      <x:c r="A12" s="15" t="str">
        <x:v>Product — Signature Blend Trio</x:v>
      </x:c>
      <x:c r="B12" s="16" t="d">
        <x:v>2026-09-16T00:00:00.000Z</x:v>
      </x:c>
      <x:c r="C12" s="15" t="str">
        <x:v>Promotion</x:v>
      </x:c>
      <x:c r="D12" s="15" t="str">
        <x:v>Purchase</x:v>
      </x:c>
      <x:c r="E12" s="17" t="n">
        <x:f>SUMIFS('Sample Data'!$G$2:$G$37,'Sample Data'!$A$2:$A$37,$A12)</x:f>
        <x:v>7580</x:v>
      </x:c>
      <x:c r="F12" s="17" t="n">
        <x:f>SUMIFS('Sample Data'!$H$2:$H$37,'Sample Data'!$A$2:$A$37,$A12)</x:f>
        <x:v>7412</x:v>
      </x:c>
      <x:c r="G12" s="17" t="n">
        <x:f>SUMIFS('Sample Data'!$I$2:$I$37,'Sample Data'!$A$2:$A$37,$A12)</x:f>
        <x:v>3315</x:v>
      </x:c>
      <x:c r="H12" s="17" t="n">
        <x:f>SUMIFS('Sample Data'!$J$2:$J$37,'Sample Data'!$A$2:$A$37,$A12)</x:f>
        <x:v>494</x:v>
      </x:c>
      <x:c r="I12" s="17" t="n">
        <x:f>SUMIFS('Sample Data'!$K$2:$K$37,'Sample Data'!$A$2:$A$37,$A12)</x:f>
        <x:v>80</x:v>
      </x:c>
      <x:c r="J12" s="17" t="n">
        <x:f>SUMIFS('Sample Data'!$L$2:$L$37,'Sample Data'!$A$2:$A$37,$A12)</x:f>
        <x:v>19</x:v>
      </x:c>
      <x:c r="K12" s="17" t="n">
        <x:f>SUMIFS('Sample Data'!$M$2:$M$37,'Sample Data'!$A$2:$A$37,$A12)</x:f>
        <x:v>3748</x:v>
      </x:c>
      <x:c r="L12" s="20" t="n">
        <x:f>IFERROR(G12/F12,0)</x:f>
        <x:v>0.44724770642201833</x:v>
      </x:c>
      <x:c r="M12" s="18" t="n">
        <x:f>IFERROR(H12/F12,0)</x:f>
        <x:v>0.06664867781975176</x:v>
      </x:c>
      <x:c r="N12" s="20" t="n">
        <x:f>IFERROR(H12/G12,0)</x:f>
        <x:v>0.14901960784313725</x:v>
      </x:c>
      <x:c r="O12" s="18" t="n">
        <x:f>IFERROR(I12/F12,0)</x:f>
        <x:v>0.010793308148947653</x:v>
      </x:c>
      <x:c r="P12" s="18" t="n">
        <x:f>IFERROR(J12/F12,0)</x:f>
        <x:v>0.0025634106853750674</x:v>
      </x:c>
      <x:c r="Q12" s="19" t="n">
        <x:f>IFERROR(K12/F12,0)</x:f>
        <x:v>0.5056664867781975</x:v>
      </x:c>
    </x:row>
    <x:row r="13" ht="34" customHeight="1">
      <x:c r="A13" s="15" t="str">
        <x:v>Brew Guide — Espresso Dial-in</x:v>
      </x:c>
      <x:c r="B13" s="16" t="d">
        <x:v>2026-09-23T00:00:00.000Z</x:v>
      </x:c>
      <x:c r="C13" s="15" t="str">
        <x:v>Education</x:v>
      </x:c>
      <x:c r="D13" s="15" t="str">
        <x:v>Engagement</x:v>
      </x:c>
      <x:c r="E13" s="17" t="n">
        <x:f>SUMIFS('Sample Data'!$G$2:$G$37,'Sample Data'!$A$2:$A$37,$A13)</x:f>
        <x:v>7200</x:v>
      </x:c>
      <x:c r="F13" s="17" t="n">
        <x:f>SUMIFS('Sample Data'!$H$2:$H$37,'Sample Data'!$A$2:$A$37,$A13)</x:f>
        <x:v>7039</x:v>
      </x:c>
      <x:c r="G13" s="17" t="n">
        <x:f>SUMIFS('Sample Data'!$I$2:$I$37,'Sample Data'!$A$2:$A$37,$A13)</x:f>
        <x:v>3113</x:v>
      </x:c>
      <x:c r="H13" s="17" t="n">
        <x:f>SUMIFS('Sample Data'!$J$2:$J$37,'Sample Data'!$A$2:$A$37,$A13)</x:f>
        <x:v>435</x:v>
      </x:c>
      <x:c r="I13" s="17" t="n">
        <x:f>SUMIFS('Sample Data'!$K$2:$K$37,'Sample Data'!$A$2:$A$37,$A13)</x:f>
        <x:v>64</x:v>
      </x:c>
      <x:c r="J13" s="17" t="n">
        <x:f>SUMIFS('Sample Data'!$L$2:$L$37,'Sample Data'!$A$2:$A$37,$A13)</x:f>
        <x:v>18</x:v>
      </x:c>
      <x:c r="K13" s="17" t="n">
        <x:f>SUMIFS('Sample Data'!$M$2:$M$37,'Sample Data'!$A$2:$A$37,$A13)</x:f>
        <x:v>2988</x:v>
      </x:c>
      <x:c r="L13" s="20" t="n">
        <x:f>IFERROR(G13/F13,0)</x:f>
        <x:v>0.44225031964767725</x:v>
      </x:c>
      <x:c r="M13" s="18" t="n">
        <x:f>IFERROR(H13/F13,0)</x:f>
        <x:v>0.061798550930529904</x:v>
      </x:c>
      <x:c r="N13" s="20" t="n">
        <x:f>IFERROR(H13/G13,0)</x:f>
        <x:v>0.1397365884998394</x:v>
      </x:c>
      <x:c r="O13" s="18" t="n">
        <x:f>IFERROR(I13/F13,0)</x:f>
        <x:v>0.009092200596675664</x:v>
      </x:c>
      <x:c r="P13" s="18" t="n">
        <x:f>IFERROR(J13/F13,0)</x:f>
        <x:v>0.0025571814178150304</x:v>
      </x:c>
      <x:c r="Q13" s="19" t="n">
        <x:f>IFERROR(K13/F13,0)</x:f>
        <x:v>0.4244921153572951</x:v>
      </x:c>
    </x:row>
    <x:row r="14" ht="34" customHeight="1">
      <x:c r="A14" s="15" t="str">
        <x:v>Seasonal — Autumn Coffee Notes</x:v>
      </x:c>
      <x:c r="B14" s="16" t="d">
        <x:v>2026-09-30T00:00:00.000Z</x:v>
      </x:c>
      <x:c r="C14" s="15" t="str">
        <x:v>Product launch</x:v>
      </x:c>
      <x:c r="D14" s="15" t="str">
        <x:v>Purchase</x:v>
      </x:c>
      <x:c r="E14" s="17" t="n">
        <x:f>SUMIFS('Sample Data'!$G$2:$G$37,'Sample Data'!$A$2:$A$37,$A14)</x:f>
        <x:v>8340</x:v>
      </x:c>
      <x:c r="F14" s="17" t="n">
        <x:f>SUMIFS('Sample Data'!$H$2:$H$37,'Sample Data'!$A$2:$A$37,$A14)</x:f>
        <x:v>8154</x:v>
      </x:c>
      <x:c r="G14" s="17" t="n">
        <x:f>SUMIFS('Sample Data'!$I$2:$I$37,'Sample Data'!$A$2:$A$37,$A14)</x:f>
        <x:v>3688</x:v>
      </x:c>
      <x:c r="H14" s="17" t="n">
        <x:f>SUMIFS('Sample Data'!$J$2:$J$37,'Sample Data'!$A$2:$A$37,$A14)</x:f>
        <x:v>482</x:v>
      </x:c>
      <x:c r="I14" s="17" t="n">
        <x:f>SUMIFS('Sample Data'!$K$2:$K$37,'Sample Data'!$A$2:$A$37,$A14)</x:f>
        <x:v>79</x:v>
      </x:c>
      <x:c r="J14" s="17" t="n">
        <x:f>SUMIFS('Sample Data'!$L$2:$L$37,'Sample Data'!$A$2:$A$37,$A14)</x:f>
        <x:v>21</x:v>
      </x:c>
      <x:c r="K14" s="17" t="n">
        <x:f>SUMIFS('Sample Data'!$M$2:$M$37,'Sample Data'!$A$2:$A$37,$A14)</x:f>
        <x:v>3694</x:v>
      </x:c>
      <x:c r="L14" s="20" t="n">
        <x:f>IFERROR(G14/F14,0)</x:f>
        <x:v>0.45229335295560463</x:v>
      </x:c>
      <x:c r="M14" s="18" t="n">
        <x:f>IFERROR(H14/F14,0)</x:f>
        <x:v>0.059112092224675006</x:v>
      </x:c>
      <x:c r="N14" s="20" t="n">
        <x:f>IFERROR(H14/G14,0)</x:f>
        <x:v>0.1306941431670282</x:v>
      </x:c>
      <x:c r="O14" s="18" t="n">
        <x:f>IFERROR(I14/F14,0)</x:f>
        <x:v>0.009688496443463332</x:v>
      </x:c>
      <x:c r="P14" s="18" t="n">
        <x:f>IFERROR(J14/F14,0)</x:f>
        <x:v>0.0025754231052244297</x:v>
      </x:c>
      <x:c r="Q14" s="19" t="n">
        <x:f>IFERROR(K14/F14,0)</x:f>
        <x:v>0.4530291881285259</x:v>
      </x:c>
    </x:row>
    <x:row r="15" ht="34" customHeight="1">
      <x:c r="A15" s="15" t="str">
        <x:v>Subscription — Subscriber Benefits</x:v>
      </x:c>
      <x:c r="B15" s="16" t="d">
        <x:v>2026-10-07T00:00:00.000Z</x:v>
      </x:c>
      <x:c r="C15" s="15" t="str">
        <x:v>Product</x:v>
      </x:c>
      <x:c r="D15" s="15" t="str">
        <x:v>Subscription</x:v>
      </x:c>
      <x:c r="E15" s="17" t="n">
        <x:f>SUMIFS('Sample Data'!$G$2:$G$37,'Sample Data'!$A$2:$A$37,$A15)</x:f>
        <x:v>7960</x:v>
      </x:c>
      <x:c r="F15" s="17" t="n">
        <x:f>SUMIFS('Sample Data'!$H$2:$H$37,'Sample Data'!$A$2:$A$37,$A15)</x:f>
        <x:v>7782</x:v>
      </x:c>
      <x:c r="G15" s="17" t="n">
        <x:f>SUMIFS('Sample Data'!$I$2:$I$37,'Sample Data'!$A$2:$A$37,$A15)</x:f>
        <x:v>3364</x:v>
      </x:c>
      <x:c r="H15" s="17" t="n">
        <x:f>SUMIFS('Sample Data'!$J$2:$J$37,'Sample Data'!$A$2:$A$37,$A15)</x:f>
        <x:v>478</x:v>
      </x:c>
      <x:c r="I15" s="17" t="n">
        <x:f>SUMIFS('Sample Data'!$K$2:$K$37,'Sample Data'!$A$2:$A$37,$A15)</x:f>
        <x:v>79</x:v>
      </x:c>
      <x:c r="J15" s="17" t="n">
        <x:f>SUMIFS('Sample Data'!$L$2:$L$37,'Sample Data'!$A$2:$A$37,$A15)</x:f>
        <x:v>21</x:v>
      </x:c>
      <x:c r="K15" s="17" t="n">
        <x:f>SUMIFS('Sample Data'!$M$2:$M$37,'Sample Data'!$A$2:$A$37,$A15)</x:f>
        <x:v>3694</x:v>
      </x:c>
      <x:c r="L15" s="20" t="n">
        <x:f>IFERROR(G15/F15,0)</x:f>
        <x:v>0.43227961963505523</x:v>
      </x:c>
      <x:c r="M15" s="18" t="n">
        <x:f>IFERROR(H15/F15,0)</x:f>
        <x:v>0.06142379850938062</x:v>
      </x:c>
      <x:c r="N15" s="20" t="n">
        <x:f>IFERROR(H15/G15,0)</x:f>
        <x:v>0.14209274673008324</x:v>
      </x:c>
      <x:c r="O15" s="18" t="n">
        <x:f>IFERROR(I15/F15,0)</x:f>
        <x:v>0.010151631971215627</x:v>
      </x:c>
      <x:c r="P15" s="18" t="n">
        <x:f>IFERROR(J15/F15,0)</x:f>
        <x:v>0.0026985350809560524</x:v>
      </x:c>
      <x:c r="Q15" s="19" t="n">
        <x:f>IFERROR(K15/F15,0)</x:f>
        <x:v>0.4746851709072218</x:v>
      </x:c>
    </x:row>
    <x:row r="16" ht="34" customHeight="1">
      <x:c r="A16" s="15" t="str">
        <x:v>Last Chance — Seasonal Lot</x:v>
      </x:c>
      <x:c r="B16" s="16" t="d">
        <x:v>2026-10-14T00:00:00.000Z</x:v>
      </x:c>
      <x:c r="C16" s="15" t="str">
        <x:v>Urgency</x:v>
      </x:c>
      <x:c r="D16" s="15" t="str">
        <x:v>Purchase</x:v>
      </x:c>
      <x:c r="E16" s="17" t="n">
        <x:f>SUMIFS('Sample Data'!$G$2:$G$37,'Sample Data'!$A$2:$A$37,$A16)</x:f>
        <x:v>7580</x:v>
      </x:c>
      <x:c r="F16" s="17" t="n">
        <x:f>SUMIFS('Sample Data'!$H$2:$H$37,'Sample Data'!$A$2:$A$37,$A16)</x:f>
        <x:v>7412</x:v>
      </x:c>
      <x:c r="G16" s="17" t="n">
        <x:f>SUMIFS('Sample Data'!$I$2:$I$37,'Sample Data'!$A$2:$A$37,$A16)</x:f>
        <x:v>3203</x:v>
      </x:c>
      <x:c r="H16" s="17" t="n">
        <x:f>SUMIFS('Sample Data'!$J$2:$J$37,'Sample Data'!$A$2:$A$37,$A16)</x:f>
        <x:v>515</x:v>
      </x:c>
      <x:c r="I16" s="17" t="n">
        <x:f>SUMIFS('Sample Data'!$K$2:$K$37,'Sample Data'!$A$2:$A$37,$A16)</x:f>
        <x:v>83</x:v>
      </x:c>
      <x:c r="J16" s="17" t="n">
        <x:f>SUMIFS('Sample Data'!$L$2:$L$37,'Sample Data'!$A$2:$A$37,$A16)</x:f>
        <x:v>23</x:v>
      </x:c>
      <x:c r="K16" s="17" t="n">
        <x:f>SUMIFS('Sample Data'!$M$2:$M$37,'Sample Data'!$A$2:$A$37,$A16)</x:f>
        <x:v>3894</x:v>
      </x:c>
      <x:c r="L16" s="20" t="n">
        <x:f>IFERROR(G16/F16,0)</x:f>
        <x:v>0.43213707501349163</x:v>
      </x:c>
      <x:c r="M16" s="18" t="n">
        <x:f>IFERROR(H16/F16,0)</x:f>
        <x:v>0.06948192120885051</x:v>
      </x:c>
      <x:c r="N16" s="20" t="n">
        <x:f>IFERROR(H16/G16,0)</x:f>
        <x:v>0.1607867624102404</x:v>
      </x:c>
      <x:c r="O16" s="18" t="n">
        <x:f>IFERROR(I16/F16,0)</x:f>
        <x:v>0.01119805720453319</x:v>
      </x:c>
      <x:c r="P16" s="18" t="n">
        <x:f>IFERROR(J16/F16,0)</x:f>
        <x:v>0.00310307609282245</x:v>
      </x:c>
      <x:c r="Q16" s="19" t="n">
        <x:f>IFERROR(K16/F16,0)</x:f>
        <x:v>0.525364274150027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40" hidden="0" customWidth="1"/>
    <x:col min="2" max="2" width="16" hidden="0" customWidth="1"/>
    <x:col min="3" max="3" width="20" hidden="0" customWidth="1"/>
    <x:col min="4" max="4" width="57" hidden="0" customWidth="1"/>
    <x:col min="5" max="5" width="19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1" hidden="0" customWidth="1"/>
    <x:col min="12" max="12" width="15" hidden="0" customWidth="1"/>
    <x:col min="13" max="13" width="14" hidden="0" customWidth="1"/>
  </x:cols>
  <x:sheetData>
    <x:row r="1" ht="36" customHeight="1">
      <x:c r="A1" s="3" t="str">
        <x:v>Campaign</x:v>
      </x:c>
      <x:c r="B1" s="3" t="str">
        <x:v>Send date</x:v>
      </x:c>
      <x:c r="C1" s="3" t="str">
        <x:v>Campaign type</x:v>
      </x:c>
      <x:c r="D1" s="3" t="str">
        <x:v>Subject / theme</x:v>
      </x:c>
      <x:c r="E1" s="3" t="str">
        <x:v>Primary goal</x:v>
      </x:c>
      <x:c r="F1" s="3" t="str">
        <x:v>Audience segment</x:v>
      </x:c>
      <x:c r="G1" s="3" t="str">
        <x:v>Emails sent</x:v>
      </x:c>
      <x:c r="H1" s="3" t="str">
        <x:v>Delivered</x:v>
      </x:c>
      <x:c r="I1" s="3" t="str">
        <x:v>Unique opens</x:v>
      </x:c>
      <x:c r="J1" s="3" t="str">
        <x:v>Unique clicks</x:v>
      </x:c>
      <x:c r="K1" s="3" t="str">
        <x:v>Orders</x:v>
      </x:c>
      <x:c r="L1" s="3" t="str">
        <x:v>Unsubscribes</x:v>
      </x:c>
      <x:c r="M1" s="3" t="str">
        <x:v>Revenue</x:v>
      </x:c>
    </x:row>
    <x:row r="2">
      <x:c r="A2" s="5" t="str">
        <x:v>Welcome Series — Origin Story</x:v>
      </x:c>
      <x:c r="B2" s="6" t="d">
        <x:v>2026-07-29T00:00:00.000Z</x:v>
      </x:c>
      <x:c r="C2" s="5" t="str">
        <x:v>Welcome</x:v>
      </x:c>
      <x:c r="D2" s="5" t="str">
        <x:v>Meet the people and places behind every bag.</x:v>
      </x:c>
      <x:c r="E2" s="5" t="str">
        <x:v>Awareness</x:v>
      </x:c>
      <x:c r="F2" s="5" t="str">
        <x:v>New subscribers</x:v>
      </x:c>
      <x:c r="G2" s="7" t="n">
        <x:v>2520</x:v>
      </x:c>
      <x:c r="H2" s="7" t="n">
        <x:v>2457</x:v>
      </x:c>
      <x:c r="I2" s="7" t="n">
        <x:v>1069</x:v>
      </x:c>
      <x:c r="J2" s="7" t="n">
        <x:v>138</x:v>
      </x:c>
      <x:c r="K2" s="7" t="n">
        <x:v>17</x:v>
      </x:c>
      <x:c r="L2" s="7" t="n">
        <x:v>8</x:v>
      </x:c>
      <x:c r="M2" s="8" t="n">
        <x:v>646</x:v>
      </x:c>
    </x:row>
    <x:row r="3">
      <x:c r="A3" s="5" t="str">
        <x:v>Welcome Series — Origin Story</x:v>
      </x:c>
      <x:c r="B3" s="6" t="d">
        <x:v>2026-07-29T00:00:00.000Z</x:v>
      </x:c>
      <x:c r="C3" s="5" t="str">
        <x:v>Welcome</x:v>
      </x:c>
      <x:c r="D3" s="5" t="str">
        <x:v>Meet the people and places behind every bag.</x:v>
      </x:c>
      <x:c r="E3" s="5" t="str">
        <x:v>Awareness</x:v>
      </x:c>
      <x:c r="F3" s="5" t="str">
        <x:v>Repeat customers</x:v>
      </x:c>
      <x:c r="G3" s="7" t="n">
        <x:v>2880</x:v>
      </x:c>
      <x:c r="H3" s="7" t="n">
        <x:v>2845</x:v>
      </x:c>
      <x:c r="I3" s="7" t="n">
        <x:v>1323</x:v>
      </x:c>
      <x:c r="J3" s="7" t="n">
        <x:v>193</x:v>
      </x:c>
      <x:c r="K3" s="7" t="n">
        <x:v>35</x:v>
      </x:c>
      <x:c r="L3" s="7" t="n">
        <x:v>3</x:v>
      </x:c>
      <x:c r="M3" s="8" t="n">
        <x:v>1890</x:v>
      </x:c>
    </x:row>
    <x:row r="4">
      <x:c r="A4" s="5" t="str">
        <x:v>Welcome Series — Origin Story</x:v>
      </x:c>
      <x:c r="B4" s="6" t="d">
        <x:v>2026-07-29T00:00:00.000Z</x:v>
      </x:c>
      <x:c r="C4" s="5" t="str">
        <x:v>Welcome</x:v>
      </x:c>
      <x:c r="D4" s="5" t="str">
        <x:v>Meet the people and places behind every bag.</x:v>
      </x:c>
      <x:c r="E4" s="5" t="str">
        <x:v>Awareness</x:v>
      </x:c>
      <x:c r="F4" s="5" t="str">
        <x:v>Engaged prospects</x:v>
      </x:c>
      <x:c r="G4" s="7" t="n">
        <x:v>1800</x:v>
      </x:c>
      <x:c r="H4" s="7" t="n">
        <x:v>1737</x:v>
      </x:c>
      <x:c r="I4" s="7" t="n">
        <x:v>686</x:v>
      </x:c>
      <x:c r="J4" s="7" t="n">
        <x:v>76</x:v>
      </x:c>
      <x:c r="K4" s="7" t="n">
        <x:v>8</x:v>
      </x:c>
      <x:c r="L4" s="7" t="n">
        <x:v>7</x:v>
      </x:c>
      <x:c r="M4" s="8" t="n">
        <x:v>272</x:v>
      </x:c>
    </x:row>
    <x:row r="5">
      <x:c r="A5" s="5" t="str">
        <x:v>Brew Guide — Pour-over Basics</x:v>
      </x:c>
      <x:c r="B5" s="6" t="d">
        <x:v>2026-08-05T00:00:00.000Z</x:v>
      </x:c>
      <x:c r="C5" s="5" t="str">
        <x:v>Education</x:v>
      </x:c>
      <x:c r="D5" s="5" t="str">
        <x:v>A clearer cup starts with a repeatable recipe.</x:v>
      </x:c>
      <x:c r="E5" s="5" t="str">
        <x:v>Engagement</x:v>
      </x:c>
      <x:c r="F5" s="5" t="str">
        <x:v>New subscribers</x:v>
      </x:c>
      <x:c r="G5" s="7" t="n">
        <x:v>2919</x:v>
      </x:c>
      <x:c r="H5" s="7" t="n">
        <x:v>2846</x:v>
      </x:c>
      <x:c r="I5" s="7" t="n">
        <x:v>1252</x:v>
      </x:c>
      <x:c r="J5" s="7" t="n">
        <x:v>182</x:v>
      </x:c>
      <x:c r="K5" s="7" t="n">
        <x:v>22</x:v>
      </x:c>
      <x:c r="L5" s="7" t="n">
        <x:v>9</x:v>
      </x:c>
      <x:c r="M5" s="8" t="n">
        <x:v>836</x:v>
      </x:c>
    </x:row>
    <x:row r="6">
      <x:c r="A6" s="5" t="str">
        <x:v>Brew Guide — Pour-over Basics</x:v>
      </x:c>
      <x:c r="B6" s="6" t="d">
        <x:v>2026-08-05T00:00:00.000Z</x:v>
      </x:c>
      <x:c r="C6" s="5" t="str">
        <x:v>Education</x:v>
      </x:c>
      <x:c r="D6" s="5" t="str">
        <x:v>A clearer cup starts with a repeatable recipe.</x:v>
      </x:c>
      <x:c r="E6" s="5" t="str">
        <x:v>Engagement</x:v>
      </x:c>
      <x:c r="F6" s="5" t="str">
        <x:v>Repeat customers</x:v>
      </x:c>
      <x:c r="G6" s="7" t="n">
        <x:v>3336</x:v>
      </x:c>
      <x:c r="H6" s="7" t="n">
        <x:v>3296</x:v>
      </x:c>
      <x:c r="I6" s="7" t="n">
        <x:v>1549</x:v>
      </x:c>
      <x:c r="J6" s="7" t="n">
        <x:v>256</x:v>
      </x:c>
      <x:c r="K6" s="7" t="n">
        <x:v>46</x:v>
      </x:c>
      <x:c r="L6" s="7" t="n">
        <x:v>4</x:v>
      </x:c>
      <x:c r="M6" s="8" t="n">
        <x:v>2484</x:v>
      </x:c>
    </x:row>
    <x:row r="7">
      <x:c r="A7" s="5" t="str">
        <x:v>Brew Guide — Pour-over Basics</x:v>
      </x:c>
      <x:c r="B7" s="6" t="d">
        <x:v>2026-08-05T00:00:00.000Z</x:v>
      </x:c>
      <x:c r="C7" s="5" t="str">
        <x:v>Education</x:v>
      </x:c>
      <x:c r="D7" s="5" t="str">
        <x:v>A clearer cup starts with a repeatable recipe.</x:v>
      </x:c>
      <x:c r="E7" s="5" t="str">
        <x:v>Engagement</x:v>
      </x:c>
      <x:c r="F7" s="5" t="str">
        <x:v>Engaged prospects</x:v>
      </x:c>
      <x:c r="G7" s="7" t="n">
        <x:v>2085</x:v>
      </x:c>
      <x:c r="H7" s="7" t="n">
        <x:v>2012</x:v>
      </x:c>
      <x:c r="I7" s="7" t="n">
        <x:v>805</x:v>
      </x:c>
      <x:c r="J7" s="7" t="n">
        <x:v>101</x:v>
      </x:c>
      <x:c r="K7" s="7" t="n">
        <x:v>11</x:v>
      </x:c>
      <x:c r="L7" s="7" t="n">
        <x:v>8</x:v>
      </x:c>
      <x:c r="M7" s="8" t="n">
        <x:v>374</x:v>
      </x:c>
    </x:row>
    <x:row r="8">
      <x:c r="A8" s="5" t="str">
        <x:v>Subscription — Choose Your Cadence</x:v>
      </x:c>
      <x:c r="B8" s="6" t="d">
        <x:v>2026-08-12T00:00:00.000Z</x:v>
      </x:c>
      <x:c r="C8" s="5" t="str">
        <x:v>Product</x:v>
      </x:c>
      <x:c r="D8" s="5" t="str">
        <x:v>Fresh coffee on a schedule that fits your routine.</x:v>
      </x:c>
      <x:c r="E8" s="5" t="str">
        <x:v>Subscription</x:v>
      </x:c>
      <x:c r="F8" s="5" t="str">
        <x:v>New subscribers</x:v>
      </x:c>
      <x:c r="G8" s="7" t="n">
        <x:v>2786</x:v>
      </x:c>
      <x:c r="H8" s="7" t="n">
        <x:v>2716</x:v>
      </x:c>
      <x:c r="I8" s="7" t="n">
        <x:v>1168</x:v>
      </x:c>
      <x:c r="J8" s="7" t="n">
        <x:v>170</x:v>
      </x:c>
      <x:c r="K8" s="7" t="n">
        <x:v>23</x:v>
      </x:c>
      <x:c r="L8" s="7" t="n">
        <x:v>9</x:v>
      </x:c>
      <x:c r="M8" s="8" t="n">
        <x:v>874</x:v>
      </x:c>
    </x:row>
    <x:row r="9">
      <x:c r="A9" s="5" t="str">
        <x:v>Subscription — Choose Your Cadence</x:v>
      </x:c>
      <x:c r="B9" s="6" t="d">
        <x:v>2026-08-12T00:00:00.000Z</x:v>
      </x:c>
      <x:c r="C9" s="5" t="str">
        <x:v>Product</x:v>
      </x:c>
      <x:c r="D9" s="5" t="str">
        <x:v>Fresh coffee on a schedule that fits your routine.</x:v>
      </x:c>
      <x:c r="E9" s="5" t="str">
        <x:v>Subscription</x:v>
      </x:c>
      <x:c r="F9" s="5" t="str">
        <x:v>Repeat customers</x:v>
      </x:c>
      <x:c r="G9" s="7" t="n">
        <x:v>3184</x:v>
      </x:c>
      <x:c r="H9" s="7" t="n">
        <x:v>3146</x:v>
      </x:c>
      <x:c r="I9" s="7" t="n">
        <x:v>1447</x:v>
      </x:c>
      <x:c r="J9" s="7" t="n">
        <x:v>240</x:v>
      </x:c>
      <x:c r="K9" s="7" t="n">
        <x:v>48</x:v>
      </x:c>
      <x:c r="L9" s="7" t="n">
        <x:v>4</x:v>
      </x:c>
      <x:c r="M9" s="8" t="n">
        <x:v>2592</x:v>
      </x:c>
    </x:row>
    <x:row r="10">
      <x:c r="A10" s="5" t="str">
        <x:v>Subscription — Choose Your Cadence</x:v>
      </x:c>
      <x:c r="B10" s="6" t="d">
        <x:v>2026-08-12T00:00:00.000Z</x:v>
      </x:c>
      <x:c r="C10" s="5" t="str">
        <x:v>Product</x:v>
      </x:c>
      <x:c r="D10" s="5" t="str">
        <x:v>Fresh coffee on a schedule that fits your routine.</x:v>
      </x:c>
      <x:c r="E10" s="5" t="str">
        <x:v>Subscription</x:v>
      </x:c>
      <x:c r="F10" s="5" t="str">
        <x:v>Engaged prospects</x:v>
      </x:c>
      <x:c r="G10" s="7" t="n">
        <x:v>1990</x:v>
      </x:c>
      <x:c r="H10" s="7" t="n">
        <x:v>1920</x:v>
      </x:c>
      <x:c r="I10" s="7" t="n">
        <x:v>749</x:v>
      </x:c>
      <x:c r="J10" s="7" t="n">
        <x:v>95</x:v>
      </x:c>
      <x:c r="K10" s="7" t="n">
        <x:v>11</x:v>
      </x:c>
      <x:c r="L10" s="7" t="n">
        <x:v>8</x:v>
      </x:c>
      <x:c r="M10" s="8" t="n">
        <x:v>374</x:v>
      </x:c>
    </x:row>
    <x:row r="11">
      <x:c r="A11" s="5" t="str">
        <x:v>Single Origin — New Arrival</x:v>
      </x:c>
      <x:c r="B11" s="6" t="d">
        <x:v>2026-08-19T00:00:00.000Z</x:v>
      </x:c>
      <x:c r="C11" s="5" t="str">
        <x:v>Product launch</x:v>
      </x:c>
      <x:c r="D11" s="5" t="str">
        <x:v>Meet this season’s expressive single origin.</x:v>
      </x:c>
      <x:c r="E11" s="5" t="str">
        <x:v>Purchase</x:v>
      </x:c>
      <x:c r="F11" s="5" t="str">
        <x:v>New subscribers</x:v>
      </x:c>
      <x:c r="G11" s="7" t="n">
        <x:v>2653</x:v>
      </x:c>
      <x:c r="H11" s="7" t="n">
        <x:v>2587</x:v>
      </x:c>
      <x:c r="I11" s="7" t="n">
        <x:v>1164</x:v>
      </x:c>
      <x:c r="J11" s="7" t="n">
        <x:v>171</x:v>
      </x:c>
      <x:c r="K11" s="7" t="n">
        <x:v>23</x:v>
      </x:c>
      <x:c r="L11" s="7" t="n">
        <x:v>8</x:v>
      </x:c>
      <x:c r="M11" s="8" t="n">
        <x:v>874</x:v>
      </x:c>
    </x:row>
    <x:row r="12">
      <x:c r="A12" s="5" t="str">
        <x:v>Single Origin — New Arrival</x:v>
      </x:c>
      <x:c r="B12" s="6" t="d">
        <x:v>2026-08-19T00:00:00.000Z</x:v>
      </x:c>
      <x:c r="C12" s="5" t="str">
        <x:v>Product launch</x:v>
      </x:c>
      <x:c r="D12" s="5" t="str">
        <x:v>Meet this season’s expressive single origin.</x:v>
      </x:c>
      <x:c r="E12" s="5" t="str">
        <x:v>Purchase</x:v>
      </x:c>
      <x:c r="F12" s="5" t="str">
        <x:v>Repeat customers</x:v>
      </x:c>
      <x:c r="G12" s="7" t="n">
        <x:v>3032</x:v>
      </x:c>
      <x:c r="H12" s="7" t="n">
        <x:v>2996</x:v>
      </x:c>
      <x:c r="I12" s="7" t="n">
        <x:v>1438</x:v>
      </x:c>
      <x:c r="J12" s="7" t="n">
        <x:v>240</x:v>
      </x:c>
      <x:c r="K12" s="7" t="n">
        <x:v>48</x:v>
      </x:c>
      <x:c r="L12" s="7" t="n">
        <x:v>4</x:v>
      </x:c>
      <x:c r="M12" s="8" t="n">
        <x:v>2592</x:v>
      </x:c>
    </x:row>
    <x:row r="13">
      <x:c r="A13" s="5" t="str">
        <x:v>Single Origin — New Arrival</x:v>
      </x:c>
      <x:c r="B13" s="6" t="d">
        <x:v>2026-08-19T00:00:00.000Z</x:v>
      </x:c>
      <x:c r="C13" s="5" t="str">
        <x:v>Product launch</x:v>
      </x:c>
      <x:c r="D13" s="5" t="str">
        <x:v>Meet this season’s expressive single origin.</x:v>
      </x:c>
      <x:c r="E13" s="5" t="str">
        <x:v>Purchase</x:v>
      </x:c>
      <x:c r="F13" s="5" t="str">
        <x:v>Engaged prospects</x:v>
      </x:c>
      <x:c r="G13" s="7" t="n">
        <x:v>1895</x:v>
      </x:c>
      <x:c r="H13" s="7" t="n">
        <x:v>1829</x:v>
      </x:c>
      <x:c r="I13" s="7" t="n">
        <x:v>750</x:v>
      </x:c>
      <x:c r="J13" s="7" t="n">
        <x:v>95</x:v>
      </x:c>
      <x:c r="K13" s="7" t="n">
        <x:v>11</x:v>
      </x:c>
      <x:c r="L13" s="7" t="n">
        <x:v>7</x:v>
      </x:c>
      <x:c r="M13" s="8" t="n">
        <x:v>374</x:v>
      </x:c>
    </x:row>
    <x:row r="14">
      <x:c r="A14" s="5" t="str">
        <x:v>Brew Guide — Coffee Storage</x:v>
      </x:c>
      <x:c r="B14" s="6" t="d">
        <x:v>2026-08-26T00:00:00.000Z</x:v>
      </x:c>
      <x:c r="C14" s="5" t="str">
        <x:v>Education</x:v>
      </x:c>
      <x:c r="D14" s="5" t="str">
        <x:v>Keep your beans tasting their best.</x:v>
      </x:c>
      <x:c r="E14" s="5" t="str">
        <x:v>Engagement</x:v>
      </x:c>
      <x:c r="F14" s="5" t="str">
        <x:v>New subscribers</x:v>
      </x:c>
      <x:c r="G14" s="7" t="n">
        <x:v>2520</x:v>
      </x:c>
      <x:c r="H14" s="7" t="n">
        <x:v>2457</x:v>
      </x:c>
      <x:c r="I14" s="7" t="n">
        <x:v>1081</x:v>
      </x:c>
      <x:c r="J14" s="7" t="n">
        <x:v>148</x:v>
      </x:c>
      <x:c r="K14" s="7" t="n">
        <x:v>18</x:v>
      </x:c>
      <x:c r="L14" s="7" t="n">
        <x:v>8</x:v>
      </x:c>
      <x:c r="M14" s="8" t="n">
        <x:v>684</x:v>
      </x:c>
    </x:row>
    <x:row r="15">
      <x:c r="A15" s="5" t="str">
        <x:v>Brew Guide — Coffee Storage</x:v>
      </x:c>
      <x:c r="B15" s="6" t="d">
        <x:v>2026-08-26T00:00:00.000Z</x:v>
      </x:c>
      <x:c r="C15" s="5" t="str">
        <x:v>Education</x:v>
      </x:c>
      <x:c r="D15" s="5" t="str">
        <x:v>Keep your beans tasting their best.</x:v>
      </x:c>
      <x:c r="E15" s="5" t="str">
        <x:v>Engagement</x:v>
      </x:c>
      <x:c r="F15" s="5" t="str">
        <x:v>Repeat customers</x:v>
      </x:c>
      <x:c r="G15" s="7" t="n">
        <x:v>2880</x:v>
      </x:c>
      <x:c r="H15" s="7" t="n">
        <x:v>2845</x:v>
      </x:c>
      <x:c r="I15" s="7" t="n">
        <x:v>1337</x:v>
      </x:c>
      <x:c r="J15" s="7" t="n">
        <x:v>209</x:v>
      </x:c>
      <x:c r="K15" s="7" t="n">
        <x:v>38</x:v>
      </x:c>
      <x:c r="L15" s="7" t="n">
        <x:v>3</x:v>
      </x:c>
      <x:c r="M15" s="8" t="n">
        <x:v>2052</x:v>
      </x:c>
    </x:row>
    <x:row r="16">
      <x:c r="A16" s="5" t="str">
        <x:v>Brew Guide — Coffee Storage</x:v>
      </x:c>
      <x:c r="B16" s="6" t="d">
        <x:v>2026-08-26T00:00:00.000Z</x:v>
      </x:c>
      <x:c r="C16" s="5" t="str">
        <x:v>Education</x:v>
      </x:c>
      <x:c r="D16" s="5" t="str">
        <x:v>Keep your beans tasting their best.</x:v>
      </x:c>
      <x:c r="E16" s="5" t="str">
        <x:v>Engagement</x:v>
      </x:c>
      <x:c r="F16" s="5" t="str">
        <x:v>Engaged prospects</x:v>
      </x:c>
      <x:c r="G16" s="7" t="n">
        <x:v>1800</x:v>
      </x:c>
      <x:c r="H16" s="7" t="n">
        <x:v>1737</x:v>
      </x:c>
      <x:c r="I16" s="7" t="n">
        <x:v>695</x:v>
      </x:c>
      <x:c r="J16" s="7" t="n">
        <x:v>82</x:v>
      </x:c>
      <x:c r="K16" s="7" t="n">
        <x:v>9</x:v>
      </x:c>
      <x:c r="L16" s="7" t="n">
        <x:v>7</x:v>
      </x:c>
      <x:c r="M16" s="8" t="n">
        <x:v>306</x:v>
      </x:c>
    </x:row>
    <x:row r="17">
      <x:c r="A17" s="5" t="str">
        <x:v>Community — Your Coffee Ritual</x:v>
      </x:c>
      <x:c r="B17" s="6" t="d">
        <x:v>2026-09-02T00:00:00.000Z</x:v>
      </x:c>
      <x:c r="C17" s="5" t="str">
        <x:v>Community</x:v>
      </x:c>
      <x:c r="D17" s="5" t="str">
        <x:v>Show us where your daily cup takes you.</x:v>
      </x:c>
      <x:c r="E17" s="5" t="str">
        <x:v>Engagement</x:v>
      </x:c>
      <x:c r="F17" s="5" t="str">
        <x:v>New subscribers</x:v>
      </x:c>
      <x:c r="G17" s="7" t="n">
        <x:v>2919</x:v>
      </x:c>
      <x:c r="H17" s="7" t="n">
        <x:v>2846</x:v>
      </x:c>
      <x:c r="I17" s="7" t="n">
        <x:v>1224</x:v>
      </x:c>
      <x:c r="J17" s="7" t="n">
        <x:v>143</x:v>
      </x:c>
      <x:c r="K17" s="7" t="n">
        <x:v>17</x:v>
      </x:c>
      <x:c r="L17" s="7" t="n">
        <x:v>9</x:v>
      </x:c>
      <x:c r="M17" s="8" t="n">
        <x:v>646</x:v>
      </x:c>
    </x:row>
    <x:row r="18">
      <x:c r="A18" s="5" t="str">
        <x:v>Community — Your Coffee Ritual</x:v>
      </x:c>
      <x:c r="B18" s="6" t="d">
        <x:v>2026-09-02T00:00:00.000Z</x:v>
      </x:c>
      <x:c r="C18" s="5" t="str">
        <x:v>Community</x:v>
      </x:c>
      <x:c r="D18" s="5" t="str">
        <x:v>Show us where your daily cup takes you.</x:v>
      </x:c>
      <x:c r="E18" s="5" t="str">
        <x:v>Engagement</x:v>
      </x:c>
      <x:c r="F18" s="5" t="str">
        <x:v>Repeat customers</x:v>
      </x:c>
      <x:c r="G18" s="7" t="n">
        <x:v>3336</x:v>
      </x:c>
      <x:c r="H18" s="7" t="n">
        <x:v>3296</x:v>
      </x:c>
      <x:c r="I18" s="7" t="n">
        <x:v>1516</x:v>
      </x:c>
      <x:c r="J18" s="7" t="n">
        <x:v>202</x:v>
      </x:c>
      <x:c r="K18" s="7" t="n">
        <x:v>36</x:v>
      </x:c>
      <x:c r="L18" s="7" t="n">
        <x:v>4</x:v>
      </x:c>
      <x:c r="M18" s="8" t="n">
        <x:v>1944</x:v>
      </x:c>
    </x:row>
    <x:row r="19">
      <x:c r="A19" s="5" t="str">
        <x:v>Community — Your Coffee Ritual</x:v>
      </x:c>
      <x:c r="B19" s="6" t="d">
        <x:v>2026-09-02T00:00:00.000Z</x:v>
      </x:c>
      <x:c r="C19" s="5" t="str">
        <x:v>Community</x:v>
      </x:c>
      <x:c r="D19" s="5" t="str">
        <x:v>Show us where your daily cup takes you.</x:v>
      </x:c>
      <x:c r="E19" s="5" t="str">
        <x:v>Engagement</x:v>
      </x:c>
      <x:c r="F19" s="5" t="str">
        <x:v>Engaged prospects</x:v>
      </x:c>
      <x:c r="G19" s="7" t="n">
        <x:v>2085</x:v>
      </x:c>
      <x:c r="H19" s="7" t="n">
        <x:v>2012</x:v>
      </x:c>
      <x:c r="I19" s="7" t="n">
        <x:v>785</x:v>
      </x:c>
      <x:c r="J19" s="7" t="n">
        <x:v>80</x:v>
      </x:c>
      <x:c r="K19" s="7" t="n">
        <x:v>8</x:v>
      </x:c>
      <x:c r="L19" s="7" t="n">
        <x:v>8</x:v>
      </x:c>
      <x:c r="M19" s="8" t="n">
        <x:v>272</x:v>
      </x:c>
    </x:row>
    <x:row r="20">
      <x:c r="A20" s="5" t="str">
        <x:v>Subscription — Gift a Coffee Routine</x:v>
      </x:c>
      <x:c r="B20" s="6" t="d">
        <x:v>2026-09-09T00:00:00.000Z</x:v>
      </x:c>
      <x:c r="C20" s="5" t="str">
        <x:v>Product</x:v>
      </x:c>
      <x:c r="D20" s="5" t="str">
        <x:v>Give someone a month of discovery.</x:v>
      </x:c>
      <x:c r="E20" s="5" t="str">
        <x:v>Gift purchase</x:v>
      </x:c>
      <x:c r="F20" s="5" t="str">
        <x:v>New subscribers</x:v>
      </x:c>
      <x:c r="G20" s="7" t="n">
        <x:v>2786</x:v>
      </x:c>
      <x:c r="H20" s="7" t="n">
        <x:v>2716</x:v>
      </x:c>
      <x:c r="I20" s="7" t="n">
        <x:v>1181</x:v>
      </x:c>
      <x:c r="J20" s="7" t="n">
        <x:v>164</x:v>
      </x:c>
      <x:c r="K20" s="7" t="n">
        <x:v>20</x:v>
      </x:c>
      <x:c r="L20" s="7" t="n">
        <x:v>9</x:v>
      </x:c>
      <x:c r="M20" s="8" t="n">
        <x:v>760</x:v>
      </x:c>
    </x:row>
    <x:row r="21">
      <x:c r="A21" s="5" t="str">
        <x:v>Subscription — Gift a Coffee Routine</x:v>
      </x:c>
      <x:c r="B21" s="6" t="d">
        <x:v>2026-09-09T00:00:00.000Z</x:v>
      </x:c>
      <x:c r="C21" s="5" t="str">
        <x:v>Product</x:v>
      </x:c>
      <x:c r="D21" s="5" t="str">
        <x:v>Give someone a month of discovery.</x:v>
      </x:c>
      <x:c r="E21" s="5" t="str">
        <x:v>Gift purchase</x:v>
      </x:c>
      <x:c r="F21" s="5" t="str">
        <x:v>Repeat customers</x:v>
      </x:c>
      <x:c r="G21" s="7" t="n">
        <x:v>3184</x:v>
      </x:c>
      <x:c r="H21" s="7" t="n">
        <x:v>3146</x:v>
      </x:c>
      <x:c r="I21" s="7" t="n">
        <x:v>1463</x:v>
      </x:c>
      <x:c r="J21" s="7" t="n">
        <x:v>231</x:v>
      </x:c>
      <x:c r="K21" s="7" t="n">
        <x:v>42</x:v>
      </x:c>
      <x:c r="L21" s="7" t="n">
        <x:v>4</x:v>
      </x:c>
      <x:c r="M21" s="8" t="n">
        <x:v>2268</x:v>
      </x:c>
    </x:row>
    <x:row r="22">
      <x:c r="A22" s="5" t="str">
        <x:v>Subscription — Gift a Coffee Routine</x:v>
      </x:c>
      <x:c r="B22" s="6" t="d">
        <x:v>2026-09-09T00:00:00.000Z</x:v>
      </x:c>
      <x:c r="C22" s="5" t="str">
        <x:v>Product</x:v>
      </x:c>
      <x:c r="D22" s="5" t="str">
        <x:v>Give someone a month of discovery.</x:v>
      </x:c>
      <x:c r="E22" s="5" t="str">
        <x:v>Gift purchase</x:v>
      </x:c>
      <x:c r="F22" s="5" t="str">
        <x:v>Engaged prospects</x:v>
      </x:c>
      <x:c r="G22" s="7" t="n">
        <x:v>1990</x:v>
      </x:c>
      <x:c r="H22" s="7" t="n">
        <x:v>1920</x:v>
      </x:c>
      <x:c r="I22" s="7" t="n">
        <x:v>758</x:v>
      </x:c>
      <x:c r="J22" s="7" t="n">
        <x:v>91</x:v>
      </x:c>
      <x:c r="K22" s="7" t="n">
        <x:v>10</x:v>
      </x:c>
      <x:c r="L22" s="7" t="n">
        <x:v>8</x:v>
      </x:c>
      <x:c r="M22" s="8" t="n">
        <x:v>340</x:v>
      </x:c>
    </x:row>
    <x:row r="23">
      <x:c r="A23" s="5" t="str">
        <x:v>Product — Signature Blend Trio</x:v>
      </x:c>
      <x:c r="B23" s="6" t="d">
        <x:v>2026-09-16T00:00:00.000Z</x:v>
      </x:c>
      <x:c r="C23" s="5" t="str">
        <x:v>Promotion</x:v>
      </x:c>
      <x:c r="D23" s="5" t="str">
        <x:v>Three signature blends, one easy tasting flight.</x:v>
      </x:c>
      <x:c r="E23" s="5" t="str">
        <x:v>Purchase</x:v>
      </x:c>
      <x:c r="F23" s="5" t="str">
        <x:v>New subscribers</x:v>
      </x:c>
      <x:c r="G23" s="7" t="n">
        <x:v>2653</x:v>
      </x:c>
      <x:c r="H23" s="7" t="n">
        <x:v>2587</x:v>
      </x:c>
      <x:c r="I23" s="7" t="n">
        <x:v>1151</x:v>
      </x:c>
      <x:c r="J23" s="7" t="n">
        <x:v>167</x:v>
      </x:c>
      <x:c r="K23" s="7" t="n">
        <x:v>22</x:v>
      </x:c>
      <x:c r="L23" s="7" t="n">
        <x:v>8</x:v>
      </x:c>
      <x:c r="M23" s="8" t="n">
        <x:v>836</x:v>
      </x:c>
    </x:row>
    <x:row r="24">
      <x:c r="A24" s="5" t="str">
        <x:v>Product — Signature Blend Trio</x:v>
      </x:c>
      <x:c r="B24" s="6" t="d">
        <x:v>2026-09-16T00:00:00.000Z</x:v>
      </x:c>
      <x:c r="C24" s="5" t="str">
        <x:v>Promotion</x:v>
      </x:c>
      <x:c r="D24" s="5" t="str">
        <x:v>Three signature blends, one easy tasting flight.</x:v>
      </x:c>
      <x:c r="E24" s="5" t="str">
        <x:v>Purchase</x:v>
      </x:c>
      <x:c r="F24" s="5" t="str">
        <x:v>Repeat customers</x:v>
      </x:c>
      <x:c r="G24" s="7" t="n">
        <x:v>3032</x:v>
      </x:c>
      <x:c r="H24" s="7" t="n">
        <x:v>2996</x:v>
      </x:c>
      <x:c r="I24" s="7" t="n">
        <x:v>1423</x:v>
      </x:c>
      <x:c r="J24" s="7" t="n">
        <x:v>234</x:v>
      </x:c>
      <x:c r="K24" s="7" t="n">
        <x:v>47</x:v>
      </x:c>
      <x:c r="L24" s="7" t="n">
        <x:v>4</x:v>
      </x:c>
      <x:c r="M24" s="8" t="n">
        <x:v>2538</x:v>
      </x:c>
    </x:row>
    <x:row r="25">
      <x:c r="A25" s="5" t="str">
        <x:v>Product — Signature Blend Trio</x:v>
      </x:c>
      <x:c r="B25" s="6" t="d">
        <x:v>2026-09-16T00:00:00.000Z</x:v>
      </x:c>
      <x:c r="C25" s="5" t="str">
        <x:v>Promotion</x:v>
      </x:c>
      <x:c r="D25" s="5" t="str">
        <x:v>Three signature blends, one easy tasting flight.</x:v>
      </x:c>
      <x:c r="E25" s="5" t="str">
        <x:v>Purchase</x:v>
      </x:c>
      <x:c r="F25" s="5" t="str">
        <x:v>Engaged prospects</x:v>
      </x:c>
      <x:c r="G25" s="7" t="n">
        <x:v>1895</x:v>
      </x:c>
      <x:c r="H25" s="7" t="n">
        <x:v>1829</x:v>
      </x:c>
      <x:c r="I25" s="7" t="n">
        <x:v>741</x:v>
      </x:c>
      <x:c r="J25" s="7" t="n">
        <x:v>93</x:v>
      </x:c>
      <x:c r="K25" s="7" t="n">
        <x:v>11</x:v>
      </x:c>
      <x:c r="L25" s="7" t="n">
        <x:v>7</x:v>
      </x:c>
      <x:c r="M25" s="8" t="n">
        <x:v>374</x:v>
      </x:c>
    </x:row>
    <x:row r="26">
      <x:c r="A26" s="5" t="str">
        <x:v>Brew Guide — Espresso Dial-in</x:v>
      </x:c>
      <x:c r="B26" s="6" t="d">
        <x:v>2026-09-23T00:00:00.000Z</x:v>
      </x:c>
      <x:c r="C26" s="5" t="str">
        <x:v>Education</x:v>
      </x:c>
      <x:c r="D26" s="5" t="str">
        <x:v>Track dose, yield, and time to tune your shot.</x:v>
      </x:c>
      <x:c r="E26" s="5" t="str">
        <x:v>Engagement</x:v>
      </x:c>
      <x:c r="F26" s="5" t="str">
        <x:v>New subscribers</x:v>
      </x:c>
      <x:c r="G26" s="7" t="n">
        <x:v>2520</x:v>
      </x:c>
      <x:c r="H26" s="7" t="n">
        <x:v>2457</x:v>
      </x:c>
      <x:c r="I26" s="7" t="n">
        <x:v>1081</x:v>
      </x:c>
      <x:c r="J26" s="7" t="n">
        <x:v>147</x:v>
      </x:c>
      <x:c r="K26" s="7" t="n">
        <x:v>18</x:v>
      </x:c>
      <x:c r="L26" s="7" t="n">
        <x:v>8</x:v>
      </x:c>
      <x:c r="M26" s="8" t="n">
        <x:v>684</x:v>
      </x:c>
    </x:row>
    <x:row r="27">
      <x:c r="A27" s="5" t="str">
        <x:v>Brew Guide — Espresso Dial-in</x:v>
      </x:c>
      <x:c r="B27" s="6" t="d">
        <x:v>2026-09-23T00:00:00.000Z</x:v>
      </x:c>
      <x:c r="C27" s="5" t="str">
        <x:v>Education</x:v>
      </x:c>
      <x:c r="D27" s="5" t="str">
        <x:v>Track dose, yield, and time to tune your shot.</x:v>
      </x:c>
      <x:c r="E27" s="5" t="str">
        <x:v>Engagement</x:v>
      </x:c>
      <x:c r="F27" s="5" t="str">
        <x:v>Repeat customers</x:v>
      </x:c>
      <x:c r="G27" s="7" t="n">
        <x:v>2880</x:v>
      </x:c>
      <x:c r="H27" s="7" t="n">
        <x:v>2845</x:v>
      </x:c>
      <x:c r="I27" s="7" t="n">
        <x:v>1337</x:v>
      </x:c>
      <x:c r="J27" s="7" t="n">
        <x:v>206</x:v>
      </x:c>
      <x:c r="K27" s="7" t="n">
        <x:v>37</x:v>
      </x:c>
      <x:c r="L27" s="7" t="n">
        <x:v>3</x:v>
      </x:c>
      <x:c r="M27" s="8" t="n">
        <x:v>1998</x:v>
      </x:c>
    </x:row>
    <x:row r="28">
      <x:c r="A28" s="5" t="str">
        <x:v>Brew Guide — Espresso Dial-in</x:v>
      </x:c>
      <x:c r="B28" s="6" t="d">
        <x:v>2026-09-23T00:00:00.000Z</x:v>
      </x:c>
      <x:c r="C28" s="5" t="str">
        <x:v>Education</x:v>
      </x:c>
      <x:c r="D28" s="5" t="str">
        <x:v>Track dose, yield, and time to tune your shot.</x:v>
      </x:c>
      <x:c r="E28" s="5" t="str">
        <x:v>Engagement</x:v>
      </x:c>
      <x:c r="F28" s="5" t="str">
        <x:v>Engaged prospects</x:v>
      </x:c>
      <x:c r="G28" s="7" t="n">
        <x:v>1800</x:v>
      </x:c>
      <x:c r="H28" s="7" t="n">
        <x:v>1737</x:v>
      </x:c>
      <x:c r="I28" s="7" t="n">
        <x:v>695</x:v>
      </x:c>
      <x:c r="J28" s="7" t="n">
        <x:v>82</x:v>
      </x:c>
      <x:c r="K28" s="7" t="n">
        <x:v>9</x:v>
      </x:c>
      <x:c r="L28" s="7" t="n">
        <x:v>7</x:v>
      </x:c>
      <x:c r="M28" s="8" t="n">
        <x:v>306</x:v>
      </x:c>
    </x:row>
    <x:row r="29">
      <x:c r="A29" s="5" t="str">
        <x:v>Seasonal — Autumn Coffee Notes</x:v>
      </x:c>
      <x:c r="B29" s="6" t="d">
        <x:v>2026-09-30T00:00:00.000Z</x:v>
      </x:c>
      <x:c r="C29" s="5" t="str">
        <x:v>Product launch</x:v>
      </x:c>
      <x:c r="D29" s="5" t="str">
        <x:v>Find a cozy cup for the change of season.</x:v>
      </x:c>
      <x:c r="E29" s="5" t="str">
        <x:v>Purchase</x:v>
      </x:c>
      <x:c r="F29" s="5" t="str">
        <x:v>New subscribers</x:v>
      </x:c>
      <x:c r="G29" s="7" t="n">
        <x:v>2919</x:v>
      </x:c>
      <x:c r="H29" s="7" t="n">
        <x:v>2846</x:v>
      </x:c>
      <x:c r="I29" s="7" t="n">
        <x:v>1281</x:v>
      </x:c>
      <x:c r="J29" s="7" t="n">
        <x:v>163</x:v>
      </x:c>
      <x:c r="K29" s="7" t="n">
        <x:v>22</x:v>
      </x:c>
      <x:c r="L29" s="7" t="n">
        <x:v>9</x:v>
      </x:c>
      <x:c r="M29" s="8" t="n">
        <x:v>836</x:v>
      </x:c>
    </x:row>
    <x:row r="30">
      <x:c r="A30" s="5" t="str">
        <x:v>Seasonal — Autumn Coffee Notes</x:v>
      </x:c>
      <x:c r="B30" s="6" t="d">
        <x:v>2026-09-30T00:00:00.000Z</x:v>
      </x:c>
      <x:c r="C30" s="5" t="str">
        <x:v>Product launch</x:v>
      </x:c>
      <x:c r="D30" s="5" t="str">
        <x:v>Find a cozy cup for the change of season.</x:v>
      </x:c>
      <x:c r="E30" s="5" t="str">
        <x:v>Purchase</x:v>
      </x:c>
      <x:c r="F30" s="5" t="str">
        <x:v>Repeat customers</x:v>
      </x:c>
      <x:c r="G30" s="7" t="n">
        <x:v>3336</x:v>
      </x:c>
      <x:c r="H30" s="7" t="n">
        <x:v>3296</x:v>
      </x:c>
      <x:c r="I30" s="7" t="n">
        <x:v>1582</x:v>
      </x:c>
      <x:c r="J30" s="7" t="n">
        <x:v>229</x:v>
      </x:c>
      <x:c r="K30" s="7" t="n">
        <x:v>46</x:v>
      </x:c>
      <x:c r="L30" s="7" t="n">
        <x:v>4</x:v>
      </x:c>
      <x:c r="M30" s="8" t="n">
        <x:v>2484</x:v>
      </x:c>
    </x:row>
    <x:row r="31">
      <x:c r="A31" s="5" t="str">
        <x:v>Seasonal — Autumn Coffee Notes</x:v>
      </x:c>
      <x:c r="B31" s="6" t="d">
        <x:v>2026-09-30T00:00:00.000Z</x:v>
      </x:c>
      <x:c r="C31" s="5" t="str">
        <x:v>Product launch</x:v>
      </x:c>
      <x:c r="D31" s="5" t="str">
        <x:v>Find a cozy cup for the change of season.</x:v>
      </x:c>
      <x:c r="E31" s="5" t="str">
        <x:v>Purchase</x:v>
      </x:c>
      <x:c r="F31" s="5" t="str">
        <x:v>Engaged prospects</x:v>
      </x:c>
      <x:c r="G31" s="7" t="n">
        <x:v>2085</x:v>
      </x:c>
      <x:c r="H31" s="7" t="n">
        <x:v>2012</x:v>
      </x:c>
      <x:c r="I31" s="7" t="n">
        <x:v>825</x:v>
      </x:c>
      <x:c r="J31" s="7" t="n">
        <x:v>90</x:v>
      </x:c>
      <x:c r="K31" s="7" t="n">
        <x:v>11</x:v>
      </x:c>
      <x:c r="L31" s="7" t="n">
        <x:v>8</x:v>
      </x:c>
      <x:c r="M31" s="8" t="n">
        <x:v>374</x:v>
      </x:c>
    </x:row>
    <x:row r="32">
      <x:c r="A32" s="5" t="str">
        <x:v>Subscription — Subscriber Benefits</x:v>
      </x:c>
      <x:c r="B32" s="6" t="d">
        <x:v>2026-10-07T00:00:00.000Z</x:v>
      </x:c>
      <x:c r="C32" s="5" t="str">
        <x:v>Product</x:v>
      </x:c>
      <x:c r="D32" s="5" t="str">
        <x:v>Explore flexible delivery and member benefits.</x:v>
      </x:c>
      <x:c r="E32" s="5" t="str">
        <x:v>Subscription</x:v>
      </x:c>
      <x:c r="F32" s="5" t="str">
        <x:v>New subscribers</x:v>
      </x:c>
      <x:c r="G32" s="7" t="n">
        <x:v>2786</x:v>
      </x:c>
      <x:c r="H32" s="7" t="n">
        <x:v>2716</x:v>
      </x:c>
      <x:c r="I32" s="7" t="n">
        <x:v>1168</x:v>
      </x:c>
      <x:c r="J32" s="7" t="n">
        <x:v>161</x:v>
      </x:c>
      <x:c r="K32" s="7" t="n">
        <x:v>22</x:v>
      </x:c>
      <x:c r="L32" s="7" t="n">
        <x:v>9</x:v>
      </x:c>
      <x:c r="M32" s="8" t="n">
        <x:v>836</x:v>
      </x:c>
    </x:row>
    <x:row r="33">
      <x:c r="A33" s="5" t="str">
        <x:v>Subscription — Subscriber Benefits</x:v>
      </x:c>
      <x:c r="B33" s="6" t="d">
        <x:v>2026-10-07T00:00:00.000Z</x:v>
      </x:c>
      <x:c r="C33" s="5" t="str">
        <x:v>Product</x:v>
      </x:c>
      <x:c r="D33" s="5" t="str">
        <x:v>Explore flexible delivery and member benefits.</x:v>
      </x:c>
      <x:c r="E33" s="5" t="str">
        <x:v>Subscription</x:v>
      </x:c>
      <x:c r="F33" s="5" t="str">
        <x:v>Repeat customers</x:v>
      </x:c>
      <x:c r="G33" s="7" t="n">
        <x:v>3184</x:v>
      </x:c>
      <x:c r="H33" s="7" t="n">
        <x:v>3146</x:v>
      </x:c>
      <x:c r="I33" s="7" t="n">
        <x:v>1447</x:v>
      </x:c>
      <x:c r="J33" s="7" t="n">
        <x:v>227</x:v>
      </x:c>
      <x:c r="K33" s="7" t="n">
        <x:v>46</x:v>
      </x:c>
      <x:c r="L33" s="7" t="n">
        <x:v>4</x:v>
      </x:c>
      <x:c r="M33" s="8" t="n">
        <x:v>2484</x:v>
      </x:c>
    </x:row>
    <x:row r="34">
      <x:c r="A34" s="5" t="str">
        <x:v>Subscription — Subscriber Benefits</x:v>
      </x:c>
      <x:c r="B34" s="6" t="d">
        <x:v>2026-10-07T00:00:00.000Z</x:v>
      </x:c>
      <x:c r="C34" s="5" t="str">
        <x:v>Product</x:v>
      </x:c>
      <x:c r="D34" s="5" t="str">
        <x:v>Explore flexible delivery and member benefits.</x:v>
      </x:c>
      <x:c r="E34" s="5" t="str">
        <x:v>Subscription</x:v>
      </x:c>
      <x:c r="F34" s="5" t="str">
        <x:v>Engaged prospects</x:v>
      </x:c>
      <x:c r="G34" s="7" t="n">
        <x:v>1990</x:v>
      </x:c>
      <x:c r="H34" s="7" t="n">
        <x:v>1920</x:v>
      </x:c>
      <x:c r="I34" s="7" t="n">
        <x:v>749</x:v>
      </x:c>
      <x:c r="J34" s="7" t="n">
        <x:v>90</x:v>
      </x:c>
      <x:c r="K34" s="7" t="n">
        <x:v>11</x:v>
      </x:c>
      <x:c r="L34" s="7" t="n">
        <x:v>8</x:v>
      </x:c>
      <x:c r="M34" s="8" t="n">
        <x:v>374</x:v>
      </x:c>
    </x:row>
    <x:row r="35">
      <x:c r="A35" s="5" t="str">
        <x:v>Last Chance — Seasonal Lot</x:v>
      </x:c>
      <x:c r="B35" s="6" t="d">
        <x:v>2026-10-14T00:00:00.000Z</x:v>
      </x:c>
      <x:c r="C35" s="5" t="str">
        <x:v>Urgency</x:v>
      </x:c>
      <x:c r="D35" s="5" t="str">
        <x:v>A limited seasonal coffee is nearly gone.</x:v>
      </x:c>
      <x:c r="E35" s="5" t="str">
        <x:v>Purchase</x:v>
      </x:c>
      <x:c r="F35" s="5" t="str">
        <x:v>New subscribers</x:v>
      </x:c>
      <x:c r="G35" s="7" t="n">
        <x:v>2653</x:v>
      </x:c>
      <x:c r="H35" s="7" t="n">
        <x:v>2587</x:v>
      </x:c>
      <x:c r="I35" s="7" t="n">
        <x:v>1112</x:v>
      </x:c>
      <x:c r="J35" s="7" t="n">
        <x:v>174</x:v>
      </x:c>
      <x:c r="K35" s="7" t="n">
        <x:v>23</x:v>
      </x:c>
      <x:c r="L35" s="7" t="n">
        <x:v>10</x:v>
      </x:c>
      <x:c r="M35" s="8" t="n">
        <x:v>874</x:v>
      </x:c>
    </x:row>
    <x:row r="36">
      <x:c r="A36" s="5" t="str">
        <x:v>Last Chance — Seasonal Lot</x:v>
      </x:c>
      <x:c r="B36" s="6" t="d">
        <x:v>2026-10-14T00:00:00.000Z</x:v>
      </x:c>
      <x:c r="C36" s="5" t="str">
        <x:v>Urgency</x:v>
      </x:c>
      <x:c r="D36" s="5" t="str">
        <x:v>A limited seasonal coffee is nearly gone.</x:v>
      </x:c>
      <x:c r="E36" s="5" t="str">
        <x:v>Purchase</x:v>
      </x:c>
      <x:c r="F36" s="5" t="str">
        <x:v>Repeat customers</x:v>
      </x:c>
      <x:c r="G36" s="7" t="n">
        <x:v>3032</x:v>
      </x:c>
      <x:c r="H36" s="7" t="n">
        <x:v>2996</x:v>
      </x:c>
      <x:c r="I36" s="7" t="n">
        <x:v>1378</x:v>
      </x:c>
      <x:c r="J36" s="7" t="n">
        <x:v>244</x:v>
      </x:c>
      <x:c r="K36" s="7" t="n">
        <x:v>49</x:v>
      </x:c>
      <x:c r="L36" s="7" t="n">
        <x:v>4</x:v>
      </x:c>
      <x:c r="M36" s="8" t="n">
        <x:v>2646</x:v>
      </x:c>
    </x:row>
    <x:row r="37">
      <x:c r="A37" s="5" t="str">
        <x:v>Last Chance — Seasonal Lot</x:v>
      </x:c>
      <x:c r="B37" s="6" t="d">
        <x:v>2026-10-14T00:00:00.000Z</x:v>
      </x:c>
      <x:c r="C37" s="5" t="str">
        <x:v>Urgency</x:v>
      </x:c>
      <x:c r="D37" s="5" t="str">
        <x:v>A limited seasonal coffee is nearly gone.</x:v>
      </x:c>
      <x:c r="E37" s="5" t="str">
        <x:v>Purchase</x:v>
      </x:c>
      <x:c r="F37" s="5" t="str">
        <x:v>Engaged prospects</x:v>
      </x:c>
      <x:c r="G37" s="7" t="n">
        <x:v>1895</x:v>
      </x:c>
      <x:c r="H37" s="7" t="n">
        <x:v>1829</x:v>
      </x:c>
      <x:c r="I37" s="7" t="n">
        <x:v>713</x:v>
      </x:c>
      <x:c r="J37" s="7" t="n">
        <x:v>97</x:v>
      </x:c>
      <x:c r="K37" s="7" t="n">
        <x:v>11</x:v>
      </x:c>
      <x:c r="L37" s="7" t="n">
        <x:v>9</x:v>
      </x:c>
      <x:c r="M37" s="8" t="n">
        <x:v>374</x:v>
      </x:c>
    </x:row>
  </x:sheetData>
  <x:pageMargins left="0.7" right="0.7" top="0.75" bottom="0.75" header="0.3" footer="0.3"/>
</x:worksheet>
</file>