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b82ef73feb45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I Dashboard" sheetId="1" r:id="Rd8749654be714be2"/>
    <x:sheet xmlns:r="http://schemas.openxmlformats.org/officeDocument/2006/relationships" name="Sample Data" sheetId="2" r:id="Rd5e7d1faf3a440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$#,##0"/>
    <x:numFmt numFmtId="201" formatCode="#,##0"/>
    <x:numFmt numFmtId="202" formatCode="0.0%"/>
    <x:numFmt numFmtId="203" formatCode="$0.00"/>
    <x:numFmt numFmtId="204" formatCode="0.00x"/>
    <x:numFmt numFmtId="205" formatCode="mmm d"/>
    <x:numFmt numFmtId="206" formatCode="mmm d, yyyy"/>
    <x:numFmt numFmtId="207" formatCode="$#,##0.00"/>
  </x:numFmts>
  <x:fonts count="11">
    <x:font>
      <x:sz val="11"/>
      <x:name val="Carlito"/>
    </x:font>
    <x:font>
      <x:b/>
      <x:sz val="16"/>
      <x:color rgb="FFFFFFFF"/>
      <x:name val="Carlito"/>
    </x:font>
    <x:font>
      <x:i/>
      <x:sz val="10"/>
      <x:color rgb="FF7D431F"/>
      <x:name val="Carlito"/>
    </x:font>
    <x:font>
      <x:b/>
      <x:sz val="10"/>
      <x:color rgb="FF202820"/>
      <x:name val="Carlito"/>
    </x:font>
    <x:font>
      <x:b/>
      <x:sz val="15"/>
      <x:color rgb="FF245B45"/>
      <x:name val="Carlito"/>
    </x:font>
    <x:font>
      <x:b/>
      <x:sz val="11"/>
      <x:color rgb="FFFFFFFF"/>
      <x:name val="Carlito"/>
    </x:font>
    <x:font>
      <x:b/>
      <x:sz val="9"/>
      <x:color rgb="FF202820"/>
      <x:name val="Carlito"/>
    </x:font>
    <x:font>
      <x:sz val="9"/>
      <x:color rgb="FF202820"/>
      <x:name val="Carlito"/>
    </x:font>
    <x:font>
      <x:b/>
      <x:sz val="11"/>
      <x:color rgb="FF202820"/>
      <x:name val="Carlito"/>
    </x:font>
    <x:font>
      <x:i/>
      <x:sz val="9"/>
      <x:color rgb="FF202820"/>
      <x:name val="Carlito"/>
    </x:font>
    <x:font>
      <x:b/>
      <x:sz val="10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45B45"/>
      </x:patternFill>
    </x:fill>
    <x:fill>
      <x:patternFill patternType="solid">
        <x:fgColor rgb="FFFFF0E7"/>
      </x:patternFill>
    </x:fill>
    <x:fill>
      <x:patternFill patternType="solid">
        <x:fgColor rgb="FFE8ECE4"/>
      </x:patternFill>
    </x:fill>
    <x:fill>
      <x:patternFill patternType="solid">
        <x:fgColor rgb="FFFFFEFA"/>
      </x:patternFill>
    </x:fill>
    <x:fill>
      <x:patternFill patternType="solid">
        <x:fgColor rgb="FF20282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200" fontId="4" fillId="5" borderId="0" xfId="0" applyNumberFormat="1" applyFont="1" applyFill="1" applyBorder="1" applyAlignment="1">
      <x:alignment horizontal="center"/>
    </x:xf>
    <x:xf numFmtId="201" fontId="4" fillId="5" borderId="0" xfId="0" applyNumberFormat="1" applyFont="1" applyFill="1" applyBorder="1" applyAlignment="1">
      <x:alignment horizontal="center"/>
    </x:xf>
    <x:xf numFmtId="202" fontId="4" fillId="5" borderId="0" xfId="0" applyNumberFormat="1" applyFont="1" applyFill="1" applyBorder="1" applyAlignment="1">
      <x:alignment horizontal="center"/>
    </x:xf>
    <x:xf numFmtId="203" fontId="4" fillId="5" borderId="0" xfId="0" applyNumberFormat="1" applyFont="1" applyFill="1" applyBorder="1" applyAlignment="1">
      <x:alignment horizontal="center"/>
    </x:xf>
    <x:xf numFmtId="204" fontId="4" fillId="5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200" fontId="7" fillId="0" borderId="0" xfId="0" applyNumberFormat="1" applyFont="1" applyFill="1" applyBorder="1" applyAlignment="1">
      <x:alignment vertical="center" wrapText="1"/>
    </x:xf>
    <x:xf numFmtId="201" fontId="7" fillId="0" borderId="0" xfId="0" applyNumberFormat="1" applyFont="1" applyFill="1" applyBorder="1" applyAlignment="1">
      <x:alignment vertical="center" wrapText="1"/>
    </x:xf>
    <x:xf numFmtId="202" fontId="7" fillId="0" borderId="0" xfId="0" applyNumberFormat="1" applyFont="1" applyFill="1" applyBorder="1" applyAlignment="1">
      <x:alignment vertical="center" wrapText="1"/>
    </x:xf>
    <x:xf numFmtId="204" fontId="7" fillId="0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/>
    </x:xf>
    <x:xf numFmtId="206" fontId="7" fillId="0" borderId="0" xfId="0" applyNumberFormat="1" applyFont="1" applyFill="1" applyBorder="1" applyAlignment="1">
      <x:alignment vertical="center"/>
    </x:xf>
    <x:xf numFmtId="207" fontId="7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b18b1e9c264345" /><Relationship Type="http://schemas.openxmlformats.org/officeDocument/2006/relationships/theme" Target="/xl/theme/theme1.xml" Id="R64d88590a62046a5" /><Relationship Type="http://schemas.openxmlformats.org/officeDocument/2006/relationships/sharedStrings" Target="/xl/sharedStrings.xml" Id="R401bef47d69044ff" /><Relationship Type="http://schemas.openxmlformats.org/officeDocument/2006/relationships/worksheet" Target="/xl/worksheets/sheet1.xml" Id="Rd8749654be714be2" /><Relationship Type="http://schemas.openxmlformats.org/officeDocument/2006/relationships/worksheet" Target="/xl/worksheets/sheet2.xml" Id="Rd5e7d1faf3a4400b" /></Relationships>
</file>

<file path=xl/theme/theme1.xml><?xml version="1.0" encoding="utf-8"?>
<a:theme xmlns:a="http://schemas.openxmlformats.org/drawingml/2006/main" name="ChatGPT">
  <a:themeElements>
    <a:clrScheme name="Signal">
      <a:dk1>
        <a:srgbClr val="202820"/>
      </a:dk1>
      <a:lt1>
        <a:srgbClr val="FFFEFA"/>
      </a:lt1>
      <a:dk2>
        <a:srgbClr val="0E2841"/>
      </a:dk2>
      <a:lt2>
        <a:srgbClr val="F5F4EF"/>
      </a:lt2>
      <a:accent1>
        <a:srgbClr val="245B45"/>
      </a:accent1>
      <a:accent2>
        <a:srgbClr val="D7EF70"/>
      </a:accent2>
      <a:accent3>
        <a:srgbClr val="E78352"/>
      </a:accent3>
      <a:accent4>
        <a:srgbClr val="CADFF1"/>
      </a:accent4>
      <a:accent5>
        <a:srgbClr val="8077A2"/>
      </a:accent5>
      <a:accent6>
        <a:srgbClr val="DBDDD4"/>
      </a:accent6>
      <a:hlink>
        <a:srgbClr val="245B45"/>
      </a:hlink>
      <a:folHlink>
        <a:srgbClr val="8077A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ignal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32" hidden="0" customWidth="1"/>
    <x:col min="2" max="2" width="35" hidden="0" customWidth="1"/>
    <x:col min="3" max="3" width="17" hidden="0" customWidth="1"/>
    <x:col min="4" max="4" width="17" hidden="0" customWidth="1"/>
    <x:col min="5" max="5" width="15" hidden="0" customWidth="1"/>
    <x:col min="6" max="6" width="14" hidden="0" customWidth="1"/>
    <x:col min="7" max="7" width="16" hidden="0" customWidth="1"/>
    <x:col min="8" max="8" width="15" hidden="0" customWidth="1"/>
    <x:col min="9" max="9" width="17" hidden="0" customWidth="1"/>
    <x:col min="10" max="10" width="14" hidden="0" customWidth="1"/>
  </x:cols>
  <x:sheetData>
    <x:row r="1" ht="34" customHeight="1">
      <x:c r="A1" s="2" t="str">
        <x:v>NORTHSTAR COFFEE  /  PAID MEDIA ROI DASHBOARD</x:v>
      </x:c>
      <x:c r="B1" s="2"/>
      <x:c r="C1" s="2"/>
      <x:c r="D1" s="2"/>
      <x:c r="E1" s="2"/>
      <x:c r="F1" s="2"/>
      <x:c r="G1" s="2"/>
      <x:c r="H1" s="2"/>
    </x:row>
    <x:row r="2" ht="27" customHeight="1">
      <x:c r="A2" s="5" t="str">
        <x:v>12-week campaign comparison  •  27 Jul–18 Oct 2026  •  Synthetic Google Ads / Meta sample data  •  USD</x:v>
      </x:c>
      <x:c r="B2" s="5"/>
      <x:c r="C2" s="5"/>
      <x:c r="D2" s="5"/>
      <x:c r="E2" s="5"/>
      <x:c r="F2" s="5"/>
      <x:c r="G2" s="5"/>
      <x:c r="H2" s="5"/>
    </x:row>
    <x:row r="4" ht="34" customHeight="1">
      <x:c r="A4" s="8" t="str">
        <x:v>Spend</x:v>
      </x:c>
      <x:c r="B4" s="8" t="str">
        <x:v>Impressions</x:v>
      </x:c>
      <x:c r="C4" s="8" t="str">
        <x:v>Clicks</x:v>
      </x:c>
      <x:c r="D4" s="8" t="str">
        <x:v>Blended CTR</x:v>
      </x:c>
      <x:c r="E4" s="8" t="str">
        <x:v>Avg. CPC</x:v>
      </x:c>
      <x:c r="F4" s="8" t="str">
        <x:v>Conversions</x:v>
      </x:c>
      <x:c r="G4" s="8" t="str">
        <x:v>Blended CPA</x:v>
      </x:c>
      <x:c r="H4" s="8" t="str">
        <x:v>ROAS</x:v>
      </x:c>
    </x:row>
    <x:row r="5" ht="40" customHeight="1">
      <x:c r="A5" s="12" t="n">
        <x:f>SUM('Sample Data'!E2:E145)</x:f>
        <x:v>90392.27</x:v>
      </x:c>
      <x:c r="B5" s="13" t="n">
        <x:f>SUM('Sample Data'!F2:F145)</x:f>
        <x:v>8443234</x:v>
      </x:c>
      <x:c r="C5" s="13" t="n">
        <x:f>SUM('Sample Data'!G2:G145)</x:f>
        <x:v>116684</x:v>
      </x:c>
      <x:c r="D5" s="14" t="n">
        <x:f>IFERROR(C5/B5,0)</x:f>
        <x:v>0.01381982306779606</x:v>
      </x:c>
      <x:c r="E5" s="15" t="n">
        <x:f>IFERROR(A5/C5,0)</x:f>
        <x:v>0.7746757910253335</x:v>
      </x:c>
      <x:c r="F5" s="11" t="n">
        <x:f>SUM('Sample Data'!H2:H145)</x:f>
        <x:v>5513</x:v>
      </x:c>
      <x:c r="G5" s="12" t="n">
        <x:f>IFERROR(A5/F5,0)</x:f>
        <x:v>16.396203518955197</x:v>
      </x:c>
      <x:c r="H5" s="16" t="n">
        <x:f>IFERROR(SUM('Sample Data'!I2:I145)/A5,0)</x:f>
        <x:v>2.7195688303878196</x:v>
      </x:c>
    </x:row>
    <x:row r="8">
      <x:c r="A8" s="17" t="str">
        <x:v>CHANNEL COMPARISON  /  Use cost and outcome together</x:v>
      </x:c>
      <x:c r="B8" s="17"/>
      <x:c r="C8" s="17"/>
      <x:c r="D8" s="17"/>
      <x:c r="E8" s="17"/>
      <x:c r="F8" s="17"/>
      <x:c r="G8" s="17"/>
      <x:c r="H8" s="17"/>
      <x:c r="I8" s="17"/>
      <x:c r="J8" s="17"/>
    </x:row>
    <x:row r="9" ht="34" customHeight="1">
      <x:c r="A9" s="19" t="str">
        <x:v>Channel</x:v>
      </x:c>
      <x:c r="B9" s="19" t="str">
        <x:v>Spend</x:v>
      </x:c>
      <x:c r="C9" s="19" t="str">
        <x:v>Impressions</x:v>
      </x:c>
      <x:c r="D9" s="19" t="str">
        <x:v>Clicks</x:v>
      </x:c>
      <x:c r="E9" s="19" t="str">
        <x:v>CTR</x:v>
      </x:c>
      <x:c r="F9" s="19" t="str">
        <x:v>CPC</x:v>
      </x:c>
      <x:c r="G9" s="19" t="str">
        <x:v>Conversions</x:v>
      </x:c>
      <x:c r="H9" s="19" t="str">
        <x:v>CPA</x:v>
      </x:c>
      <x:c r="I9" s="19" t="str">
        <x:v>Revenue</x:v>
      </x:c>
      <x:c r="J9" s="19" t="str">
        <x:v>ROAS</x:v>
      </x:c>
    </x:row>
    <x:row r="10">
      <x:c r="A10" t="str">
        <x:v>Google Search</x:v>
      </x:c>
      <x:c r="B10" s="20" t="n">
        <x:f>SUMIFS('Sample Data'!$E$2:$E$145,'Sample Data'!$D$2:$D$145,$A10)</x:f>
        <x:v>41719.5</x:v>
      </x:c>
      <x:c r="C10" s="21" t="n">
        <x:f>SUMIFS('Sample Data'!$F$2:$F$145,'Sample Data'!$D$2:$D$145,$A10)</x:f>
        <x:v>2781300</x:v>
      </x:c>
      <x:c r="D10" s="21" t="n">
        <x:f>SUMIFS('Sample Data'!$G$2:$G$145,'Sample Data'!$D$2:$D$145,$A10)</x:f>
        <x:v>64874</x:v>
      </x:c>
      <x:c r="E10" s="22" t="n">
        <x:f>IFERROR(D10/C10,0)</x:f>
        <x:v>0.02332506381907741</x:v>
      </x:c>
      <x:c r="F10" s="23" t="n">
        <x:f>IFERROR(B10/D10,0)</x:f>
        <x:v>0.6430850571877794</x:v>
      </x:c>
      <x:c r="G10" s="21" t="n">
        <x:f>SUMIFS('Sample Data'!$H$2:$H$145,'Sample Data'!$D$2:$D$145,$A10)</x:f>
        <x:v>4265</x:v>
      </x:c>
      <x:c r="H10" s="20" t="n">
        <x:f>IFERROR(B10/G10,0)</x:f>
        <x:v>9.781828839390387</x:v>
      </x:c>
      <x:c r="I10" s="20" t="n">
        <x:f>SUMIFS('Sample Data'!$I$2:$I$145,'Sample Data'!$D$2:$D$145,$A10)</x:f>
        <x:v>190204</x:v>
      </x:c>
      <x:c r="J10" s="24" t="n">
        <x:f>IFERROR(I10/B10,0)</x:f>
        <x:v>4.559115042126583</x:v>
      </x:c>
    </x:row>
    <x:row r="11">
      <x:c r="A11" t="str">
        <x:v>Meta Ads</x:v>
      </x:c>
      <x:c r="B11" s="20" t="n">
        <x:f>SUMIFS('Sample Data'!$E$2:$E$145,'Sample Data'!$D$2:$D$145,$A11)</x:f>
        <x:v>30130.769999999997</x:v>
      </x:c>
      <x:c r="C11" s="21" t="n">
        <x:f>SUMIFS('Sample Data'!$F$2:$F$145,'Sample Data'!$D$2:$D$145,$A11)</x:f>
        <x:v>3013077</x:v>
      </x:c>
      <x:c r="D11" s="21" t="n">
        <x:f>SUMIFS('Sample Data'!$G$2:$G$145,'Sample Data'!$D$2:$D$145,$A11)</x:f>
        <x:v>39724</x:v>
      </x:c>
      <x:c r="E11" s="22" t="n">
        <x:f>IFERROR(D11/C11,0)</x:f>
        <x:v>0.01318386486638078</x:v>
      </x:c>
      <x:c r="F11" s="23" t="n">
        <x:f>IFERROR(B11/D11,0)</x:f>
        <x:v>0.7585029201490282</x:v>
      </x:c>
      <x:c r="G11" s="21" t="n">
        <x:f>SUMIFS('Sample Data'!$H$2:$H$145,'Sample Data'!$D$2:$D$145,$A11)</x:f>
        <x:v>1087</x:v>
      </x:c>
      <x:c r="H11" s="20" t="n">
        <x:f>IFERROR(B11/G11,0)</x:f>
        <x:v>27.719199632014718</x:v>
      </x:c>
      <x:c r="I11" s="20" t="n">
        <x:f>SUMIFS('Sample Data'!$I$2:$I$145,'Sample Data'!$D$2:$D$145,$A11)</x:f>
        <x:v>48466</x:v>
      </x:c>
      <x:c r="J11" s="24" t="n">
        <x:f>IFERROR(I11/B11,0)</x:f>
        <x:v>1.6085217868643915</x:v>
      </x:c>
    </x:row>
    <x:row r="12">
      <x:c r="A12" t="str">
        <x:v>Google Display</x:v>
      </x:c>
      <x:c r="B12" s="20" t="n">
        <x:f>SUMIFS('Sample Data'!$E$2:$E$145,'Sample Data'!$D$2:$D$145,$A12)</x:f>
        <x:v>18542</x:v>
      </x:c>
      <x:c r="C12" s="21" t="n">
        <x:f>SUMIFS('Sample Data'!$F$2:$F$145,'Sample Data'!$D$2:$D$145,$A12)</x:f>
        <x:v>2648857</x:v>
      </x:c>
      <x:c r="D12" s="21" t="n">
        <x:f>SUMIFS('Sample Data'!$G$2:$G$145,'Sample Data'!$D$2:$D$145,$A12)</x:f>
        <x:v>12086</x:v>
      </x:c>
      <x:c r="E12" s="22" t="n">
        <x:f>IFERROR(D12/C12,0)</x:f>
        <x:v>0.004562722713985693</x:v>
      </x:c>
      <x:c r="F12" s="23" t="n">
        <x:f>IFERROR(B12/D12,0)</x:f>
        <x:v>1.5341717689889127</x:v>
      </x:c>
      <x:c r="G12" s="21" t="n">
        <x:f>SUMIFS('Sample Data'!$H$2:$H$145,'Sample Data'!$D$2:$D$145,$A12)</x:f>
        <x:v>161</x:v>
      </x:c>
      <x:c r="H12" s="20" t="n">
        <x:f>IFERROR(B12/G12,0)</x:f>
        <x:v>115.16770186335404</x:v>
      </x:c>
      <x:c r="I12" s="20" t="n">
        <x:f>SUMIFS('Sample Data'!$I$2:$I$145,'Sample Data'!$D$2:$D$145,$A12)</x:f>
        <x:v>7158</x:v>
      </x:c>
      <x:c r="J12" s="24" t="n">
        <x:f>IFERROR(I12/B12,0)</x:f>
        <x:v>0.3860424981123935</x:v>
      </x:c>
    </x:row>
    <x:row r="15">
      <x:c r="A15" s="17" t="str">
        <x:v>CAMPAIGN COMPARISON  /  Aggregated across channels and weeks</x:v>
      </x:c>
      <x:c r="B15" s="17"/>
      <x:c r="C15" s="17"/>
      <x:c r="D15" s="17"/>
      <x:c r="E15" s="17"/>
      <x:c r="F15" s="17"/>
      <x:c r="G15" s="17"/>
      <x:c r="H15" s="17"/>
      <x:c r="I15" s="17"/>
      <x:c r="J15" s="17"/>
    </x:row>
    <x:row r="16" ht="34" customHeight="1">
      <x:c r="A16" s="19" t="str">
        <x:v>Campaign</x:v>
      </x:c>
      <x:c r="B16" s="19" t="str">
        <x:v>Goal</x:v>
      </x:c>
      <x:c r="C16" s="19" t="str">
        <x:v>Spend</x:v>
      </x:c>
      <x:c r="D16" s="19" t="str">
        <x:v>Impressions</x:v>
      </x:c>
      <x:c r="E16" s="19" t="str">
        <x:v>Clicks</x:v>
      </x:c>
      <x:c r="F16" s="19" t="str">
        <x:v>CTR</x:v>
      </x:c>
      <x:c r="G16" s="19" t="str">
        <x:v>Conversions</x:v>
      </x:c>
      <x:c r="H16" s="19" t="str">
        <x:v>CPA</x:v>
      </x:c>
      <x:c r="I16" s="19" t="str">
        <x:v>Revenue</x:v>
      </x:c>
      <x:c r="J16" s="19" t="str">
        <x:v>ROAS</x:v>
      </x:c>
    </x:row>
    <x:row r="17" ht="38" customHeight="1">
      <x:c r="A17" s="27" t="str">
        <x:v>Branded Search</x:v>
      </x:c>
      <x:c r="B17" s="27" t="str">
        <x:v>Capture high-intent brand demand</x:v>
      </x:c>
      <x:c r="C17" s="28" t="n">
        <x:f>SUMIFS('Sample Data'!$E$2:$E$145,'Sample Data'!$B$2:$B$145,$A17)</x:f>
        <x:v>16097.269999999999</x:v>
      </x:c>
      <x:c r="D17" s="29" t="n">
        <x:f>SUMIFS('Sample Data'!$F$2:$F$145,'Sample Data'!$B$2:$B$145,$A17)</x:f>
        <x:v>1503590</x:v>
      </x:c>
      <x:c r="E17" s="29" t="n">
        <x:f>SUMIFS('Sample Data'!$G$2:$G$145,'Sample Data'!$B$2:$B$145,$A17)</x:f>
        <x:v>27664</x:v>
      </x:c>
      <x:c r="F17" s="30" t="n">
        <x:f>IFERROR(E17/D17,0)</x:f>
        <x:v>0.018398632605963063</x:v>
      </x:c>
      <x:c r="G17" s="29" t="n">
        <x:f>SUMIFS('Sample Data'!$H$2:$H$145,'Sample Data'!$B$2:$B$145,$A17)</x:f>
        <x:v>1611</x:v>
      </x:c>
      <x:c r="H17" s="28" t="n">
        <x:f>IFERROR(C17/G17,0)</x:f>
        <x:v>9.99209807572936</x:v>
      </x:c>
      <x:c r="I17" s="28" t="n">
        <x:f>SUMIFS('Sample Data'!$I$2:$I$145,'Sample Data'!$B$2:$B$145,$A17)</x:f>
        <x:v>57996</x:v>
      </x:c>
      <x:c r="J17" s="31" t="n">
        <x:f>IFERROR(I17/C17,0)</x:f>
        <x:v>3.602846942369731</x:v>
      </x:c>
    </x:row>
    <x:row r="18" ht="38" customHeight="1">
      <x:c r="A18" s="27" t="str">
        <x:v>Subscription Prospecting</x:v>
      </x:c>
      <x:c r="B18" s="27" t="str">
        <x:v>Acquire first-time subscribers</x:v>
      </x:c>
      <x:c r="C18" s="28" t="n">
        <x:f>SUMIFS('Sample Data'!$E$2:$E$145,'Sample Data'!$B$2:$B$145,$A18)</x:f>
        <x:v>29718.000000000004</x:v>
      </x:c>
      <x:c r="D18" s="29" t="n">
        <x:f>SUMIFS('Sample Data'!$F$2:$F$145,'Sample Data'!$B$2:$B$145,$A18)</x:f>
        <x:v>2775859</x:v>
      </x:c>
      <x:c r="E18" s="29" t="n">
        <x:f>SUMIFS('Sample Data'!$G$2:$G$145,'Sample Data'!$B$2:$B$145,$A18)</x:f>
        <x:v>31022</x:v>
      </x:c>
      <x:c r="F18" s="30" t="n">
        <x:f>IFERROR(E18/D18,0)</x:f>
        <x:v>0.01117563968486872</x:v>
      </x:c>
      <x:c r="G18" s="29" t="n">
        <x:f>SUMIFS('Sample Data'!$H$2:$H$145,'Sample Data'!$B$2:$B$145,$A18)</x:f>
        <x:v>1204</x:v>
      </x:c>
      <x:c r="H18" s="28" t="n">
        <x:f>IFERROR(C18/G18,0)</x:f>
        <x:v>24.6827242524917</x:v>
      </x:c>
      <x:c r="I18" s="28" t="n">
        <x:f>SUMIFS('Sample Data'!$I$2:$I$145,'Sample Data'!$B$2:$B$145,$A18)</x:f>
        <x:v>48160</x:v>
      </x:c>
      <x:c r="J18" s="31" t="n">
        <x:f>IFERROR(I18/C18,0)</x:f>
        <x:v>1.6205666599367385</x:v>
      </x:c>
    </x:row>
    <x:row r="19" ht="38" customHeight="1">
      <x:c r="A19" s="27" t="str">
        <x:v>Seasonal Single Origin</x:v>
      </x:c>
      <x:c r="B19" s="27" t="str">
        <x:v>Drive seasonal product sales</x:v>
      </x:c>
      <x:c r="C19" s="28" t="n">
        <x:f>SUMIFS('Sample Data'!$E$2:$E$145,'Sample Data'!$B$2:$B$145,$A19)</x:f>
        <x:v>24765</x:v>
      </x:c>
      <x:c r="D19" s="29" t="n">
        <x:f>SUMIFS('Sample Data'!$F$2:$F$145,'Sample Data'!$B$2:$B$145,$A19)</x:f>
        <x:v>2313213</x:v>
      </x:c>
      <x:c r="E19" s="29" t="n">
        <x:f>SUMIFS('Sample Data'!$G$2:$G$145,'Sample Data'!$B$2:$B$145,$A19)</x:f>
        <x:v>28999</x:v>
      </x:c>
      <x:c r="F19" s="30" t="n">
        <x:f>IFERROR(E19/D19,0)</x:f>
        <x:v>0.012536242879492723</x:v>
      </x:c>
      <x:c r="G19" s="29" t="n">
        <x:f>SUMIFS('Sample Data'!$H$2:$H$145,'Sample Data'!$B$2:$B$145,$A19)</x:f>
        <x:v>1100</x:v>
      </x:c>
      <x:c r="H19" s="28" t="n">
        <x:f>IFERROR(C19/G19,0)</x:f>
        <x:v>22.513636363636362</x:v>
      </x:c>
      <x:c r="I19" s="28" t="n">
        <x:f>SUMIFS('Sample Data'!$I$2:$I$145,'Sample Data'!$B$2:$B$145,$A19)</x:f>
        <x:v>37400</x:v>
      </x:c>
      <x:c r="J19" s="31" t="n">
        <x:f>IFERROR(I19/C19,0)</x:f>
        <x:v>1.5101958409045024</x:v>
      </x:c>
    </x:row>
    <x:row r="20" ht="38" customHeight="1">
      <x:c r="A20" s="27" t="str">
        <x:v>Brew Gear Retargeting</x:v>
      </x:c>
      <x:c r="B20" s="27" t="str">
        <x:v>Convert returning product visitors</x:v>
      </x:c>
      <x:c r="C20" s="28" t="n">
        <x:f>SUMIFS('Sample Data'!$E$2:$E$145,'Sample Data'!$B$2:$B$145,$A20)</x:f>
        <x:v>19812.000000000007</x:v>
      </x:c>
      <x:c r="D20" s="29" t="n">
        <x:f>SUMIFS('Sample Data'!$F$2:$F$145,'Sample Data'!$B$2:$B$145,$A20)</x:f>
        <x:v>1850572</x:v>
      </x:c>
      <x:c r="E20" s="29" t="n">
        <x:f>SUMIFS('Sample Data'!$G$2:$G$145,'Sample Data'!$B$2:$B$145,$A20)</x:f>
        <x:v>28999</x:v>
      </x:c>
      <x:c r="F20" s="30" t="n">
        <x:f>IFERROR(E20/D20,0)</x:f>
        <x:v>0.01567029005085995</x:v>
      </x:c>
      <x:c r="G20" s="29" t="n">
        <x:f>SUMIFS('Sample Data'!$H$2:$H$145,'Sample Data'!$B$2:$B$145,$A20)</x:f>
        <x:v>1598</x:v>
      </x:c>
      <x:c r="H20" s="28" t="n">
        <x:f>IFERROR(C20/G20,0)</x:f>
        <x:v>12.397997496871094</x:v>
      </x:c>
      <x:c r="I20" s="28" t="n">
        <x:f>SUMIFS('Sample Data'!$I$2:$I$145,'Sample Data'!$B$2:$B$145,$A20)</x:f>
        <x:v>102272</x:v>
      </x:c>
      <x:c r="J20" s="31" t="n">
        <x:f>IFERROR(I20/C20,0)</x:f>
        <x:v>5.16212396527357</x:v>
      </x:c>
    </x:row>
    <x:row r="23">
      <x:c r="A23" s="17" t="str">
        <x:v>WEEKLY TREND</x:v>
      </x:c>
      <x:c r="B23" s="17"/>
      <x:c r="C23" s="17"/>
      <x:c r="D23" s="17"/>
      <x:c r="F23" s="36" t="str">
        <x:v>INTERPRETATION &amp; LIMITS</x:v>
      </x:c>
      <x:c r="G23" s="36"/>
      <x:c r="H23" s="36"/>
      <x:c r="I23" s="36"/>
      <x:c r="J23" s="36"/>
    </x:row>
    <x:row r="24" ht="37" customHeight="1">
      <x:c r="A24" s="33" t="str">
        <x:v>Week starting</x:v>
      </x:c>
      <x:c r="B24" s="33" t="str">
        <x:v>Spend</x:v>
      </x:c>
      <x:c r="C24" s="33" t="str">
        <x:v>Conversions</x:v>
      </x:c>
      <x:c r="D24" s="33" t="str">
        <x:v>Revenue</x:v>
      </x:c>
      <x:c r="F24" s="27" t="str">
        <x:v>ROAS = attributed revenue ÷ ad spend. CPA = spend ÷ conversions. CTR = clicks ÷ impressions. CPC = spend ÷ clicks.</x:v>
      </x:c>
      <x:c r="G24" s="27"/>
      <x:c r="H24" s="27"/>
      <x:c r="I24" s="27"/>
      <x:c r="J24" s="27"/>
    </x:row>
    <x:row r="25" ht="37" customHeight="1">
      <x:c r="A25" s="34" t="d">
        <x:v>2026-07-27T00:00:00.000Z</x:v>
      </x:c>
      <x:c r="B25" s="20" t="n">
        <x:f>SUMIFS('Sample Data'!$E$2:$E$145,'Sample Data'!$A$2:$A$145,$A25)</x:f>
        <x:v>6476.929999999999</x:v>
      </x:c>
      <x:c r="C25" s="21" t="n">
        <x:f>SUMIFS('Sample Data'!$H$2:$H$145,'Sample Data'!$A$2:$A$145,$A25)</x:f>
        <x:v>395</x:v>
      </x:c>
      <x:c r="D25" s="20" t="n">
        <x:f>SUMIFS('Sample Data'!$I$2:$I$145,'Sample Data'!$A$2:$A$145,$A25)</x:f>
        <x:v>17626</x:v>
      </x:c>
      <x:c r="F25" s="27" t="str">
        <x:v>Sample attribution assumption: 7-day click window; revenue is first-order revenue only. No view-through credit, lifetime value, refunds, taxes, or margin included.</x:v>
      </x:c>
      <x:c r="G25" s="27"/>
      <x:c r="H25" s="27"/>
      <x:c r="I25" s="27"/>
      <x:c r="J25" s="27"/>
    </x:row>
    <x:row r="26" ht="37" customHeight="1">
      <x:c r="A26" s="34" t="d">
        <x:v>2026-08-03T00:00:00.000Z</x:v>
      </x:c>
      <x:c r="B26" s="20" t="n">
        <x:f>SUMIFS('Sample Data'!$E$2:$E$145,'Sample Data'!$A$2:$A$145,$A26)</x:f>
        <x:v>6832.799999999999</x:v>
      </x:c>
      <x:c r="C26" s="21" t="n">
        <x:f>SUMIFS('Sample Data'!$H$2:$H$145,'Sample Data'!$A$2:$A$145,$A26)</x:f>
        <x:v>416</x:v>
      </x:c>
      <x:c r="D26" s="20" t="n">
        <x:f>SUMIFS('Sample Data'!$I$2:$I$145,'Sample Data'!$A$2:$A$145,$A26)</x:f>
        <x:v>18564</x:v>
      </x:c>
      <x:c r="F26" s="27" t="str">
        <x:v>Use relative comparisons within this dataset. Do not scale spend from ROAS alone; validate conversion quality, margin, inventory, and tracking before making budget decisions.</x:v>
      </x:c>
      <x:c r="G26" s="27"/>
      <x:c r="H26" s="27"/>
      <x:c r="I26" s="27"/>
      <x:c r="J26" s="27"/>
    </x:row>
    <x:row r="27" ht="37" customHeight="1">
      <x:c r="A27" s="34" t="d">
        <x:v>2026-08-10T00:00:00.000Z</x:v>
      </x:c>
      <x:c r="B27" s="20" t="n">
        <x:f>SUMIFS('Sample Data'!$E$2:$E$145,'Sample Data'!$A$2:$A$145,$A27)</x:f>
        <x:v>7259.8499999999985</x:v>
      </x:c>
      <x:c r="C27" s="21" t="n">
        <x:f>SUMIFS('Sample Data'!$H$2:$H$145,'Sample Data'!$A$2:$A$145,$A27)</x:f>
        <x:v>443</x:v>
      </x:c>
      <x:c r="D27" s="20" t="n">
        <x:f>SUMIFS('Sample Data'!$I$2:$I$145,'Sample Data'!$A$2:$A$145,$A27)</x:f>
        <x:v>19744</x:v>
      </x:c>
      <x:c r="F27" s="27" t="str">
        <x:v>Sample insight: Search is modeled as the most efficient channel; Display is modeled as lower-intent prospecting. Confirm with real platform exports and consistent attribution settings.</x:v>
      </x:c>
      <x:c r="G27" s="27"/>
      <x:c r="H27" s="27"/>
      <x:c r="I27" s="27"/>
      <x:c r="J27" s="27"/>
    </x:row>
    <x:row r="28">
      <x:c r="A28" s="34" t="d">
        <x:v>2026-08-17T00:00:00.000Z</x:v>
      </x:c>
      <x:c r="B28" s="20" t="n">
        <x:f>SUMIFS('Sample Data'!$E$2:$E$145,'Sample Data'!$A$2:$A$145,$A28)</x:f>
        <x:v>6975.1500000000015</x:v>
      </x:c>
      <x:c r="C28" s="21" t="n">
        <x:f>SUMIFS('Sample Data'!$H$2:$H$145,'Sample Data'!$A$2:$A$145,$A28)</x:f>
        <x:v>427</x:v>
      </x:c>
      <x:c r="D28" s="20" t="n">
        <x:f>SUMIFS('Sample Data'!$I$2:$I$145,'Sample Data'!$A$2:$A$145,$A28)</x:f>
        <x:v>19046</x:v>
      </x:c>
    </x:row>
    <x:row r="29">
      <x:c r="A29" s="34" t="d">
        <x:v>2026-08-24T00:00:00.000Z</x:v>
      </x:c>
      <x:c r="B29" s="20" t="n">
        <x:f>SUMIFS('Sample Data'!$E$2:$E$145,'Sample Data'!$A$2:$A$145,$A29)</x:f>
        <x:v>7473.38</x:v>
      </x:c>
      <x:c r="C29" s="21" t="n">
        <x:f>SUMIFS('Sample Data'!$H$2:$H$145,'Sample Data'!$A$2:$A$145,$A29)</x:f>
        <x:v>456</x:v>
      </x:c>
      <x:c r="D29" s="20" t="n">
        <x:f>SUMIFS('Sample Data'!$I$2:$I$145,'Sample Data'!$A$2:$A$145,$A29)</x:f>
        <x:v>20330</x:v>
      </x:c>
    </x:row>
    <x:row r="30">
      <x:c r="A30" s="34" t="d">
        <x:v>2026-08-31T00:00:00.000Z</x:v>
      </x:c>
      <x:c r="B30" s="20" t="n">
        <x:f>SUMIFS('Sample Data'!$E$2:$E$145,'Sample Data'!$A$2:$A$145,$A30)</x:f>
        <x:v>7829.25</x:v>
      </x:c>
      <x:c r="C30" s="21" t="n">
        <x:f>SUMIFS('Sample Data'!$H$2:$H$145,'Sample Data'!$A$2:$A$145,$A30)</x:f>
        <x:v>479</x:v>
      </x:c>
      <x:c r="D30" s="20" t="n">
        <x:f>SUMIFS('Sample Data'!$I$2:$I$145,'Sample Data'!$A$2:$A$145,$A30)</x:f>
        <x:v>21336</x:v>
      </x:c>
    </x:row>
    <x:row r="31">
      <x:c r="A31" s="34" t="d">
        <x:v>2026-09-07T00:00:00.000Z</x:v>
      </x:c>
      <x:c r="B31" s="20" t="n">
        <x:f>SUMIFS('Sample Data'!$E$2:$E$145,'Sample Data'!$A$2:$A$145,$A31)</x:f>
        <x:v>7188.679999999999</x:v>
      </x:c>
      <x:c r="C31" s="21" t="n">
        <x:f>SUMIFS('Sample Data'!$H$2:$H$145,'Sample Data'!$A$2:$A$145,$A31)</x:f>
        <x:v>439</x:v>
      </x:c>
      <x:c r="D31" s="20" t="n">
        <x:f>SUMIFS('Sample Data'!$I$2:$I$145,'Sample Data'!$A$2:$A$145,$A31)</x:f>
        <x:v>19568</x:v>
      </x:c>
    </x:row>
    <x:row r="32">
      <x:c r="A32" s="34" t="d">
        <x:v>2026-09-14T00:00:00.000Z</x:v>
      </x:c>
      <x:c r="B32" s="20" t="n">
        <x:f>SUMIFS('Sample Data'!$E$2:$E$145,'Sample Data'!$A$2:$A$145,$A32)</x:f>
        <x:v>7686.9000000000015</x:v>
      </x:c>
      <x:c r="C32" s="21" t="n">
        <x:f>SUMIFS('Sample Data'!$H$2:$H$145,'Sample Data'!$A$2:$A$145,$A32)</x:f>
        <x:v>468</x:v>
      </x:c>
      <x:c r="D32" s="20" t="n">
        <x:f>SUMIFS('Sample Data'!$I$2:$I$145,'Sample Data'!$A$2:$A$145,$A32)</x:f>
        <x:v>20878</x:v>
      </x:c>
    </x:row>
    <x:row r="33">
      <x:c r="A33" s="34" t="d">
        <x:v>2026-09-21T00:00:00.000Z</x:v>
      </x:c>
      <x:c r="B33" s="20" t="n">
        <x:f>SUMIFS('Sample Data'!$E$2:$E$145,'Sample Data'!$A$2:$A$145,$A33)</x:f>
        <x:v>8042.770000000001</x:v>
      </x:c>
      <x:c r="C33" s="21" t="n">
        <x:f>SUMIFS('Sample Data'!$H$2:$H$145,'Sample Data'!$A$2:$A$145,$A33)</x:f>
        <x:v>490</x:v>
      </x:c>
      <x:c r="D33" s="20" t="n">
        <x:f>SUMIFS('Sample Data'!$I$2:$I$145,'Sample Data'!$A$2:$A$145,$A33)</x:f>
        <x:v>21848</x:v>
      </x:c>
    </x:row>
    <x:row r="34">
      <x:c r="A34" s="34" t="d">
        <x:v>2026-09-28T00:00:00.000Z</x:v>
      </x:c>
      <x:c r="B34" s="20" t="n">
        <x:f>SUMIFS('Sample Data'!$E$2:$E$145,'Sample Data'!$A$2:$A$145,$A34)</x:f>
        <x:v>7758.08</x:v>
      </x:c>
      <x:c r="C34" s="21" t="n">
        <x:f>SUMIFS('Sample Data'!$H$2:$H$145,'Sample Data'!$A$2:$A$145,$A34)</x:f>
        <x:v>473</x:v>
      </x:c>
      <x:c r="D34" s="20" t="n">
        <x:f>SUMIFS('Sample Data'!$I$2:$I$145,'Sample Data'!$A$2:$A$145,$A34)</x:f>
        <x:v>21086</x:v>
      </x:c>
    </x:row>
    <x:row r="35">
      <x:c r="A35" s="34" t="d">
        <x:v>2026-10-05T00:00:00.000Z</x:v>
      </x:c>
      <x:c r="B35" s="20" t="n">
        <x:f>SUMIFS('Sample Data'!$E$2:$E$145,'Sample Data'!$A$2:$A$145,$A35)</x:f>
        <x:v>8327.48</x:v>
      </x:c>
      <x:c r="C35" s="21" t="n">
        <x:f>SUMIFS('Sample Data'!$H$2:$H$145,'Sample Data'!$A$2:$A$145,$A35)</x:f>
        <x:v>507</x:v>
      </x:c>
      <x:c r="D35" s="20" t="n">
        <x:f>SUMIFS('Sample Data'!$I$2:$I$145,'Sample Data'!$A$2:$A$145,$A35)</x:f>
        <x:v>22610</x:v>
      </x:c>
    </x:row>
    <x:row r="36">
      <x:c r="A36" s="34" t="d">
        <x:v>2026-10-12T00:00:00.000Z</x:v>
      </x:c>
      <x:c r="B36" s="20" t="n">
        <x:f>SUMIFS('Sample Data'!$E$2:$E$145,'Sample Data'!$A$2:$A$145,$A36)</x:f>
        <x:v>8541</x:v>
      </x:c>
      <x:c r="C36" s="21" t="n">
        <x:f>SUMIFS('Sample Data'!$H$2:$H$145,'Sample Data'!$A$2:$A$145,$A36)</x:f>
        <x:v>520</x:v>
      </x:c>
      <x:c r="D36" s="20" t="n">
        <x:f>SUMIFS('Sample Data'!$I$2:$I$145,'Sample Data'!$A$2:$A$145,$A36)</x:f>
        <x:v>23192</x:v>
      </x:c>
    </x:row>
    <x:row r="39" ht="32" customHeight="1">
      <x:c r="A39" s="38" t="str">
        <x:v>Source note: all records are deterministic synthetic practice data, not actual Google Ads or Meta Ads results. Grain: week × campaign × channel. Date range: 27 Jul–18 Oct 2026. Currency: USD.</x:v>
      </x:c>
      <x:c r="B39" s="38"/>
      <x:c r="C39" s="38"/>
      <x:c r="D39" s="38"/>
      <x:c r="E39" s="38"/>
      <x:c r="F39" s="38"/>
      <x:c r="G39" s="38"/>
      <x:c r="H39" s="38"/>
      <x:c r="I39" s="38"/>
      <x:c r="J39" s="38"/>
    </x:row>
  </x:sheetData>
  <x:mergeCells>
    <x:mergeCell ref="A1:H1"/>
    <x:mergeCell ref="A2:H2"/>
    <x:mergeCell ref="A8:J8"/>
    <x:mergeCell ref="A15:J15"/>
    <x:mergeCell ref="A23:D23"/>
    <x:mergeCell ref="F23:J23"/>
    <x:mergeCell ref="F24:J24"/>
    <x:mergeCell ref="F25:J25"/>
    <x:mergeCell ref="F26:J26"/>
    <x:mergeCell ref="F27:J27"/>
    <x:mergeCell ref="A39:J3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16" hidden="0" customWidth="1"/>
    <x:col min="2" max="2" width="33" hidden="0" customWidth="1"/>
    <x:col min="3" max="3" width="38" hidden="0" customWidth="1"/>
    <x:col min="4" max="4" width="20" hidden="0" customWidth="1"/>
    <x:col min="5" max="5" width="17" hidden="0" customWidth="1"/>
    <x:col min="6" max="6" width="16" hidden="0" customWidth="1"/>
    <x:col min="7" max="7" width="13" hidden="0" customWidth="1"/>
    <x:col min="8" max="8" width="14" hidden="0" customWidth="1"/>
    <x:col min="9" max="9" width="25" hidden="0" customWidth="1"/>
  </x:cols>
  <x:sheetData>
    <x:row r="1" ht="36" customHeight="1">
      <x:c r="A1" s="40" t="str">
        <x:v>Week start</x:v>
      </x:c>
      <x:c r="B1" s="40" t="str">
        <x:v>Campaign</x:v>
      </x:c>
      <x:c r="C1" s="40" t="str">
        <x:v>Campaign goal</x:v>
      </x:c>
      <x:c r="D1" s="40" t="str">
        <x:v>Channel</x:v>
      </x:c>
      <x:c r="E1" s="40" t="str">
        <x:v>Spend (USD)</x:v>
      </x:c>
      <x:c r="F1" s="40" t="str">
        <x:v>Impressions</x:v>
      </x:c>
      <x:c r="G1" s="40" t="str">
        <x:v>Clicks</x:v>
      </x:c>
      <x:c r="H1" s="40" t="str">
        <x:v>Conversions</x:v>
      </x:c>
      <x:c r="I1" s="40" t="str">
        <x:v>First-order revenue (USD)</x:v>
      </x:c>
    </x:row>
    <x:row r="2">
      <x:c r="A2" s="42" t="d">
        <x:v>2026-07-27T00:00:00.000Z</x:v>
      </x:c>
      <x:c r="B2" s="41" t="str">
        <x:v>Branded Search</x:v>
      </x:c>
      <x:c r="C2" s="41" t="str">
        <x:v>Capture high-intent brand demand</x:v>
      </x:c>
      <x:c r="D2" s="41" t="str">
        <x:v>Google Search</x:v>
      </x:c>
      <x:c r="E2" s="43" t="n">
        <x:v>532.35</x:v>
      </x:c>
      <x:c r="F2" s="44" t="n">
        <x:v>35490</x:v>
      </x:c>
      <x:c r="G2" s="44" t="n">
        <x:v>1102</x:v>
      </x:c>
      <x:c r="H2" s="44" t="n">
        <x:v>89</x:v>
      </x:c>
      <x:c r="I2" s="45" t="n">
        <x:v>3204</x:v>
      </x:c>
    </x:row>
    <x:row r="3">
      <x:c r="A3" s="42" t="d">
        <x:v>2026-07-27T00:00:00.000Z</x:v>
      </x:c>
      <x:c r="B3" s="41" t="str">
        <x:v>Branded Search</x:v>
      </x:c>
      <x:c r="C3" s="41" t="str">
        <x:v>Capture high-intent brand demand</x:v>
      </x:c>
      <x:c r="D3" s="41" t="str">
        <x:v>Meta Ads</x:v>
      </x:c>
      <x:c r="E3" s="43" t="n">
        <x:v>384.48</x:v>
      </x:c>
      <x:c r="F3" s="44" t="n">
        <x:v>38448</x:v>
      </x:c>
      <x:c r="G3" s="44" t="n">
        <x:v>675</x:v>
      </x:c>
      <x:c r="H3" s="44" t="n">
        <x:v>23</x:v>
      </x:c>
      <x:c r="I3" s="45" t="n">
        <x:v>828</x:v>
      </x:c>
    </x:row>
    <x:row r="4">
      <x:c r="A4" s="42" t="d">
        <x:v>2026-07-27T00:00:00.000Z</x:v>
      </x:c>
      <x:c r="B4" s="41" t="str">
        <x:v>Branded Search</x:v>
      </x:c>
      <x:c r="C4" s="41" t="str">
        <x:v>Capture high-intent brand demand</x:v>
      </x:c>
      <x:c r="D4" s="41" t="str">
        <x:v>Google Display</x:v>
      </x:c>
      <x:c r="E4" s="43" t="n">
        <x:v>236.6</x:v>
      </x:c>
      <x:c r="F4" s="44" t="n">
        <x:v>33800</x:v>
      </x:c>
      <x:c r="G4" s="44" t="n">
        <x:v>205</x:v>
      </x:c>
      <x:c r="H4" s="44" t="n">
        <x:v>3</x:v>
      </x:c>
      <x:c r="I4" s="45" t="n">
        <x:v>108</x:v>
      </x:c>
    </x:row>
    <x:row r="5">
      <x:c r="A5" s="42" t="d">
        <x:v>2026-07-27T00:00:00.000Z</x:v>
      </x:c>
      <x:c r="B5" s="41" t="str">
        <x:v>Subscription Prospecting</x:v>
      </x:c>
      <x:c r="C5" s="41" t="str">
        <x:v>Acquire first-time subscribers</x:v>
      </x:c>
      <x:c r="D5" s="41" t="str">
        <x:v>Google Search</x:v>
      </x:c>
      <x:c r="E5" s="43" t="n">
        <x:v>982.8</x:v>
      </x:c>
      <x:c r="F5" s="44" t="n">
        <x:v>65520</x:v>
      </x:c>
      <x:c r="G5" s="44" t="n">
        <x:v>1236</x:v>
      </x:c>
      <x:c r="H5" s="44" t="n">
        <x:v>67</x:v>
      </x:c>
      <x:c r="I5" s="45" t="n">
        <x:v>2680</x:v>
      </x:c>
    </x:row>
    <x:row r="6">
      <x:c r="A6" s="42" t="d">
        <x:v>2026-07-27T00:00:00.000Z</x:v>
      </x:c>
      <x:c r="B6" s="41" t="str">
        <x:v>Subscription Prospecting</x:v>
      </x:c>
      <x:c r="C6" s="41" t="str">
        <x:v>Acquire first-time subscribers</x:v>
      </x:c>
      <x:c r="D6" s="41" t="str">
        <x:v>Meta Ads</x:v>
      </x:c>
      <x:c r="E6" s="43" t="n">
        <x:v>709.8</x:v>
      </x:c>
      <x:c r="F6" s="44" t="n">
        <x:v>70980</x:v>
      </x:c>
      <x:c r="G6" s="44" t="n">
        <x:v>757</x:v>
      </x:c>
      <x:c r="H6" s="44" t="n">
        <x:v>17</x:v>
      </x:c>
      <x:c r="I6" s="45" t="n">
        <x:v>680</x:v>
      </x:c>
    </x:row>
    <x:row r="7">
      <x:c r="A7" s="42" t="d">
        <x:v>2026-07-27T00:00:00.000Z</x:v>
      </x:c>
      <x:c r="B7" s="41" t="str">
        <x:v>Subscription Prospecting</x:v>
      </x:c>
      <x:c r="C7" s="41" t="str">
        <x:v>Acquire first-time subscribers</x:v>
      </x:c>
      <x:c r="D7" s="41" t="str">
        <x:v>Google Display</x:v>
      </x:c>
      <x:c r="E7" s="43" t="n">
        <x:v>436.8</x:v>
      </x:c>
      <x:c r="F7" s="44" t="n">
        <x:v>62400</x:v>
      </x:c>
      <x:c r="G7" s="44" t="n">
        <x:v>230</x:v>
      </x:c>
      <x:c r="H7" s="44" t="n">
        <x:v>2</x:v>
      </x:c>
      <x:c r="I7" s="45" t="n">
        <x:v>80</x:v>
      </x:c>
    </x:row>
    <x:row r="8">
      <x:c r="A8" s="42" t="d">
        <x:v>2026-07-27T00:00:00.000Z</x:v>
      </x:c>
      <x:c r="B8" s="41" t="str">
        <x:v>Seasonal Single Origin</x:v>
      </x:c>
      <x:c r="C8" s="41" t="str">
        <x:v>Drive seasonal product sales</x:v>
      </x:c>
      <x:c r="D8" s="41" t="str">
        <x:v>Google Search</x:v>
      </x:c>
      <x:c r="E8" s="43" t="n">
        <x:v>819</x:v>
      </x:c>
      <x:c r="F8" s="44" t="n">
        <x:v>54600</x:v>
      </x:c>
      <x:c r="G8" s="44" t="n">
        <x:v>1155</x:v>
      </x:c>
      <x:c r="H8" s="44" t="n">
        <x:v>61</x:v>
      </x:c>
      <x:c r="I8" s="45" t="n">
        <x:v>2074</x:v>
      </x:c>
    </x:row>
    <x:row r="9">
      <x:c r="A9" s="42" t="d">
        <x:v>2026-07-27T00:00:00.000Z</x:v>
      </x:c>
      <x:c r="B9" s="41" t="str">
        <x:v>Seasonal Single Origin</x:v>
      </x:c>
      <x:c r="C9" s="41" t="str">
        <x:v>Drive seasonal product sales</x:v>
      </x:c>
      <x:c r="D9" s="41" t="str">
        <x:v>Meta Ads</x:v>
      </x:c>
      <x:c r="E9" s="43" t="n">
        <x:v>591.5</x:v>
      </x:c>
      <x:c r="F9" s="44" t="n">
        <x:v>59150</x:v>
      </x:c>
      <x:c r="G9" s="44" t="n">
        <x:v>707</x:v>
      </x:c>
      <x:c r="H9" s="44" t="n">
        <x:v>16</x:v>
      </x:c>
      <x:c r="I9" s="45" t="n">
        <x:v>544</x:v>
      </x:c>
    </x:row>
    <x:row r="10">
      <x:c r="A10" s="42" t="d">
        <x:v>2026-07-27T00:00:00.000Z</x:v>
      </x:c>
      <x:c r="B10" s="41" t="str">
        <x:v>Seasonal Single Origin</x:v>
      </x:c>
      <x:c r="C10" s="41" t="str">
        <x:v>Drive seasonal product sales</x:v>
      </x:c>
      <x:c r="D10" s="41" t="str">
        <x:v>Google Display</x:v>
      </x:c>
      <x:c r="E10" s="43" t="n">
        <x:v>364</x:v>
      </x:c>
      <x:c r="F10" s="44" t="n">
        <x:v>52000</x:v>
      </x:c>
      <x:c r="G10" s="44" t="n">
        <x:v>215</x:v>
      </x:c>
      <x:c r="H10" s="44" t="n">
        <x:v>2</x:v>
      </x:c>
      <x:c r="I10" s="45" t="n">
        <x:v>68</x:v>
      </x:c>
    </x:row>
    <x:row r="11">
      <x:c r="A11" s="42" t="d">
        <x:v>2026-07-27T00:00:00.000Z</x:v>
      </x:c>
      <x:c r="B11" s="41" t="str">
        <x:v>Brew Gear Retargeting</x:v>
      </x:c>
      <x:c r="C11" s="41" t="str">
        <x:v>Convert returning product visitors</x:v>
      </x:c>
      <x:c r="D11" s="41" t="str">
        <x:v>Google Search</x:v>
      </x:c>
      <x:c r="E11" s="43" t="n">
        <x:v>655.2</x:v>
      </x:c>
      <x:c r="F11" s="44" t="n">
        <x:v>43680</x:v>
      </x:c>
      <x:c r="G11" s="44" t="n">
        <x:v>1155</x:v>
      </x:c>
      <x:c r="H11" s="44" t="n">
        <x:v>89</x:v>
      </x:c>
      <x:c r="I11" s="45" t="n">
        <x:v>5696</x:v>
      </x:c>
    </x:row>
    <x:row r="12">
      <x:c r="A12" s="42" t="d">
        <x:v>2026-07-27T00:00:00.000Z</x:v>
      </x:c>
      <x:c r="B12" s="41" t="str">
        <x:v>Brew Gear Retargeting</x:v>
      </x:c>
      <x:c r="C12" s="41" t="str">
        <x:v>Convert returning product visitors</x:v>
      </x:c>
      <x:c r="D12" s="41" t="str">
        <x:v>Meta Ads</x:v>
      </x:c>
      <x:c r="E12" s="43" t="n">
        <x:v>473.2</x:v>
      </x:c>
      <x:c r="F12" s="44" t="n">
        <x:v>47320</x:v>
      </x:c>
      <x:c r="G12" s="44" t="n">
        <x:v>707</x:v>
      </x:c>
      <x:c r="H12" s="44" t="n">
        <x:v>23</x:v>
      </x:c>
      <x:c r="I12" s="45" t="n">
        <x:v>1472</x:v>
      </x:c>
    </x:row>
    <x:row r="13">
      <x:c r="A13" s="42" t="d">
        <x:v>2026-07-27T00:00:00.000Z</x:v>
      </x:c>
      <x:c r="B13" s="41" t="str">
        <x:v>Brew Gear Retargeting</x:v>
      </x:c>
      <x:c r="C13" s="41" t="str">
        <x:v>Convert returning product visitors</x:v>
      </x:c>
      <x:c r="D13" s="41" t="str">
        <x:v>Google Display</x:v>
      </x:c>
      <x:c r="E13" s="43" t="n">
        <x:v>291.2</x:v>
      </x:c>
      <x:c r="F13" s="44" t="n">
        <x:v>41600</x:v>
      </x:c>
      <x:c r="G13" s="44" t="n">
        <x:v>215</x:v>
      </x:c>
      <x:c r="H13" s="44" t="n">
        <x:v>3</x:v>
      </x:c>
      <x:c r="I13" s="45" t="n">
        <x:v>192</x:v>
      </x:c>
    </x:row>
    <x:row r="14">
      <x:c r="A14" s="42" t="d">
        <x:v>2026-08-03T00:00:00.000Z</x:v>
      </x:c>
      <x:c r="B14" s="41" t="str">
        <x:v>Branded Search</x:v>
      </x:c>
      <x:c r="C14" s="41" t="str">
        <x:v>Capture high-intent brand demand</x:v>
      </x:c>
      <x:c r="D14" s="41" t="str">
        <x:v>Google Search</x:v>
      </x:c>
      <x:c r="E14" s="43" t="n">
        <x:v>561.6</x:v>
      </x:c>
      <x:c r="F14" s="44" t="n">
        <x:v>37440</x:v>
      </x:c>
      <x:c r="G14" s="44" t="n">
        <x:v>1163</x:v>
      </x:c>
      <x:c r="H14" s="44" t="n">
        <x:v>94</x:v>
      </x:c>
      <x:c r="I14" s="45" t="n">
        <x:v>3384</x:v>
      </x:c>
    </x:row>
    <x:row r="15">
      <x:c r="A15" s="42" t="d">
        <x:v>2026-08-03T00:00:00.000Z</x:v>
      </x:c>
      <x:c r="B15" s="41" t="str">
        <x:v>Branded Search</x:v>
      </x:c>
      <x:c r="C15" s="41" t="str">
        <x:v>Capture high-intent brand demand</x:v>
      </x:c>
      <x:c r="D15" s="41" t="str">
        <x:v>Meta Ads</x:v>
      </x:c>
      <x:c r="E15" s="43" t="n">
        <x:v>405.6</x:v>
      </x:c>
      <x:c r="F15" s="44" t="n">
        <x:v>40560</x:v>
      </x:c>
      <x:c r="G15" s="44" t="n">
        <x:v>712</x:v>
      </x:c>
      <x:c r="H15" s="44" t="n">
        <x:v>24</x:v>
      </x:c>
      <x:c r="I15" s="45" t="n">
        <x:v>864</x:v>
      </x:c>
    </x:row>
    <x:row r="16">
      <x:c r="A16" s="42" t="d">
        <x:v>2026-08-03T00:00:00.000Z</x:v>
      </x:c>
      <x:c r="B16" s="41" t="str">
        <x:v>Branded Search</x:v>
      </x:c>
      <x:c r="C16" s="41" t="str">
        <x:v>Capture high-intent brand demand</x:v>
      </x:c>
      <x:c r="D16" s="41" t="str">
        <x:v>Google Display</x:v>
      </x:c>
      <x:c r="E16" s="43" t="n">
        <x:v>249.6</x:v>
      </x:c>
      <x:c r="F16" s="44" t="n">
        <x:v>35657</x:v>
      </x:c>
      <x:c r="G16" s="44" t="n">
        <x:v>217</x:v>
      </x:c>
      <x:c r="H16" s="44" t="n">
        <x:v>4</x:v>
      </x:c>
      <x:c r="I16" s="45" t="n">
        <x:v>144</x:v>
      </x:c>
    </x:row>
    <x:row r="17">
      <x:c r="A17" s="42" t="d">
        <x:v>2026-08-03T00:00:00.000Z</x:v>
      </x:c>
      <x:c r="B17" s="41" t="str">
        <x:v>Subscription Prospecting</x:v>
      </x:c>
      <x:c r="C17" s="41" t="str">
        <x:v>Acquire first-time subscribers</x:v>
      </x:c>
      <x:c r="D17" s="41" t="str">
        <x:v>Google Search</x:v>
      </x:c>
      <x:c r="E17" s="43" t="n">
        <x:v>1036.8</x:v>
      </x:c>
      <x:c r="F17" s="44" t="n">
        <x:v>69120</x:v>
      </x:c>
      <x:c r="G17" s="44" t="n">
        <x:v>1304</x:v>
      </x:c>
      <x:c r="H17" s="44" t="n">
        <x:v>70</x:v>
      </x:c>
      <x:c r="I17" s="45" t="n">
        <x:v>2800</x:v>
      </x:c>
    </x:row>
    <x:row r="18">
      <x:c r="A18" s="42" t="d">
        <x:v>2026-08-03T00:00:00.000Z</x:v>
      </x:c>
      <x:c r="B18" s="41" t="str">
        <x:v>Subscription Prospecting</x:v>
      </x:c>
      <x:c r="C18" s="41" t="str">
        <x:v>Acquire first-time subscribers</x:v>
      </x:c>
      <x:c r="D18" s="41" t="str">
        <x:v>Meta Ads</x:v>
      </x:c>
      <x:c r="E18" s="43" t="n">
        <x:v>748.8</x:v>
      </x:c>
      <x:c r="F18" s="44" t="n">
        <x:v>74880</x:v>
      </x:c>
      <x:c r="G18" s="44" t="n">
        <x:v>798</x:v>
      </x:c>
      <x:c r="H18" s="44" t="n">
        <x:v>18</x:v>
      </x:c>
      <x:c r="I18" s="45" t="n">
        <x:v>720</x:v>
      </x:c>
    </x:row>
    <x:row r="19">
      <x:c r="A19" s="42" t="d">
        <x:v>2026-08-03T00:00:00.000Z</x:v>
      </x:c>
      <x:c r="B19" s="41" t="str">
        <x:v>Subscription Prospecting</x:v>
      </x:c>
      <x:c r="C19" s="41" t="str">
        <x:v>Acquire first-time subscribers</x:v>
      </x:c>
      <x:c r="D19" s="41" t="str">
        <x:v>Google Display</x:v>
      </x:c>
      <x:c r="E19" s="43" t="n">
        <x:v>460.8</x:v>
      </x:c>
      <x:c r="F19" s="44" t="n">
        <x:v>65829</x:v>
      </x:c>
      <x:c r="G19" s="44" t="n">
        <x:v>243</x:v>
      </x:c>
      <x:c r="H19" s="44" t="n">
        <x:v>3</x:v>
      </x:c>
      <x:c r="I19" s="45" t="n">
        <x:v>120</x:v>
      </x:c>
    </x:row>
    <x:row r="20">
      <x:c r="A20" s="42" t="d">
        <x:v>2026-08-03T00:00:00.000Z</x:v>
      </x:c>
      <x:c r="B20" s="41" t="str">
        <x:v>Seasonal Single Origin</x:v>
      </x:c>
      <x:c r="C20" s="41" t="str">
        <x:v>Drive seasonal product sales</x:v>
      </x:c>
      <x:c r="D20" s="41" t="str">
        <x:v>Google Search</x:v>
      </x:c>
      <x:c r="E20" s="43" t="n">
        <x:v>864</x:v>
      </x:c>
      <x:c r="F20" s="44" t="n">
        <x:v>57600</x:v>
      </x:c>
      <x:c r="G20" s="44" t="n">
        <x:v>1219</x:v>
      </x:c>
      <x:c r="H20" s="44" t="n">
        <x:v>64</x:v>
      </x:c>
      <x:c r="I20" s="45" t="n">
        <x:v>2176</x:v>
      </x:c>
    </x:row>
    <x:row r="21">
      <x:c r="A21" s="42" t="d">
        <x:v>2026-08-03T00:00:00.000Z</x:v>
      </x:c>
      <x:c r="B21" s="41" t="str">
        <x:v>Seasonal Single Origin</x:v>
      </x:c>
      <x:c r="C21" s="41" t="str">
        <x:v>Drive seasonal product sales</x:v>
      </x:c>
      <x:c r="D21" s="41" t="str">
        <x:v>Meta Ads</x:v>
      </x:c>
      <x:c r="E21" s="43" t="n">
        <x:v>624</x:v>
      </x:c>
      <x:c r="F21" s="44" t="n">
        <x:v>62400</x:v>
      </x:c>
      <x:c r="G21" s="44" t="n">
        <x:v>746</x:v>
      </x:c>
      <x:c r="H21" s="44" t="n">
        <x:v>16</x:v>
      </x:c>
      <x:c r="I21" s="45" t="n">
        <x:v>544</x:v>
      </x:c>
    </x:row>
    <x:row r="22">
      <x:c r="A22" s="42" t="d">
        <x:v>2026-08-03T00:00:00.000Z</x:v>
      </x:c>
      <x:c r="B22" s="41" t="str">
        <x:v>Seasonal Single Origin</x:v>
      </x:c>
      <x:c r="C22" s="41" t="str">
        <x:v>Drive seasonal product sales</x:v>
      </x:c>
      <x:c r="D22" s="41" t="str">
        <x:v>Google Display</x:v>
      </x:c>
      <x:c r="E22" s="43" t="n">
        <x:v>384</x:v>
      </x:c>
      <x:c r="F22" s="44" t="n">
        <x:v>54857</x:v>
      </x:c>
      <x:c r="G22" s="44" t="n">
        <x:v>227</x:v>
      </x:c>
      <x:c r="H22" s="44" t="n">
        <x:v>2</x:v>
      </x:c>
      <x:c r="I22" s="45" t="n">
        <x:v>68</x:v>
      </x:c>
    </x:row>
    <x:row r="23">
      <x:c r="A23" s="42" t="d">
        <x:v>2026-08-03T00:00:00.000Z</x:v>
      </x:c>
      <x:c r="B23" s="41" t="str">
        <x:v>Brew Gear Retargeting</x:v>
      </x:c>
      <x:c r="C23" s="41" t="str">
        <x:v>Convert returning product visitors</x:v>
      </x:c>
      <x:c r="D23" s="41" t="str">
        <x:v>Google Search</x:v>
      </x:c>
      <x:c r="E23" s="43" t="n">
        <x:v>691.2</x:v>
      </x:c>
      <x:c r="F23" s="44" t="n">
        <x:v>46080</x:v>
      </x:c>
      <x:c r="G23" s="44" t="n">
        <x:v>1219</x:v>
      </x:c>
      <x:c r="H23" s="44" t="n">
        <x:v>94</x:v>
      </x:c>
      <x:c r="I23" s="45" t="n">
        <x:v>6016</x:v>
      </x:c>
    </x:row>
    <x:row r="24">
      <x:c r="A24" s="42" t="d">
        <x:v>2026-08-03T00:00:00.000Z</x:v>
      </x:c>
      <x:c r="B24" s="41" t="str">
        <x:v>Brew Gear Retargeting</x:v>
      </x:c>
      <x:c r="C24" s="41" t="str">
        <x:v>Convert returning product visitors</x:v>
      </x:c>
      <x:c r="D24" s="41" t="str">
        <x:v>Meta Ads</x:v>
      </x:c>
      <x:c r="E24" s="43" t="n">
        <x:v>499.2</x:v>
      </x:c>
      <x:c r="F24" s="44" t="n">
        <x:v>49920</x:v>
      </x:c>
      <x:c r="G24" s="44" t="n">
        <x:v>746</x:v>
      </x:c>
      <x:c r="H24" s="44" t="n">
        <x:v>24</x:v>
      </x:c>
      <x:c r="I24" s="45" t="n">
        <x:v>1536</x:v>
      </x:c>
    </x:row>
    <x:row r="25">
      <x:c r="A25" s="42" t="d">
        <x:v>2026-08-03T00:00:00.000Z</x:v>
      </x:c>
      <x:c r="B25" s="41" t="str">
        <x:v>Brew Gear Retargeting</x:v>
      </x:c>
      <x:c r="C25" s="41" t="str">
        <x:v>Convert returning product visitors</x:v>
      </x:c>
      <x:c r="D25" s="41" t="str">
        <x:v>Google Display</x:v>
      </x:c>
      <x:c r="E25" s="43" t="n">
        <x:v>307.2</x:v>
      </x:c>
      <x:c r="F25" s="44" t="n">
        <x:v>43886</x:v>
      </x:c>
      <x:c r="G25" s="44" t="n">
        <x:v>227</x:v>
      </x:c>
      <x:c r="H25" s="44" t="n">
        <x:v>3</x:v>
      </x:c>
      <x:c r="I25" s="45" t="n">
        <x:v>192</x:v>
      </x:c>
    </x:row>
    <x:row r="26">
      <x:c r="A26" s="42" t="d">
        <x:v>2026-08-10T00:00:00.000Z</x:v>
      </x:c>
      <x:c r="B26" s="41" t="str">
        <x:v>Branded Search</x:v>
      </x:c>
      <x:c r="C26" s="41" t="str">
        <x:v>Capture high-intent brand demand</x:v>
      </x:c>
      <x:c r="D26" s="41" t="str">
        <x:v>Google Search</x:v>
      </x:c>
      <x:c r="E26" s="43" t="n">
        <x:v>596.7</x:v>
      </x:c>
      <x:c r="F26" s="44" t="n">
        <x:v>39780</x:v>
      </x:c>
      <x:c r="G26" s="44" t="n">
        <x:v>1235</x:v>
      </x:c>
      <x:c r="H26" s="44" t="n">
        <x:v>100</x:v>
      </x:c>
      <x:c r="I26" s="45" t="n">
        <x:v>3600</x:v>
      </x:c>
    </x:row>
    <x:row r="27">
      <x:c r="A27" s="42" t="d">
        <x:v>2026-08-10T00:00:00.000Z</x:v>
      </x:c>
      <x:c r="B27" s="41" t="str">
        <x:v>Branded Search</x:v>
      </x:c>
      <x:c r="C27" s="41" t="str">
        <x:v>Capture high-intent brand demand</x:v>
      </x:c>
      <x:c r="D27" s="41" t="str">
        <x:v>Meta Ads</x:v>
      </x:c>
      <x:c r="E27" s="43" t="n">
        <x:v>430.95</x:v>
      </x:c>
      <x:c r="F27" s="44" t="n">
        <x:v>43095</x:v>
      </x:c>
      <x:c r="G27" s="44" t="n">
        <x:v>756</x:v>
      </x:c>
      <x:c r="H27" s="44" t="n">
        <x:v>26</x:v>
      </x:c>
      <x:c r="I27" s="45" t="n">
        <x:v>936</x:v>
      </x:c>
    </x:row>
    <x:row r="28">
      <x:c r="A28" s="42" t="d">
        <x:v>2026-08-10T00:00:00.000Z</x:v>
      </x:c>
      <x:c r="B28" s="41" t="str">
        <x:v>Branded Search</x:v>
      </x:c>
      <x:c r="C28" s="41" t="str">
        <x:v>Capture high-intent brand demand</x:v>
      </x:c>
      <x:c r="D28" s="41" t="str">
        <x:v>Google Display</x:v>
      </x:c>
      <x:c r="E28" s="43" t="n">
        <x:v>265.2</x:v>
      </x:c>
      <x:c r="F28" s="44" t="n">
        <x:v>37886</x:v>
      </x:c>
      <x:c r="G28" s="44" t="n">
        <x:v>230</x:v>
      </x:c>
      <x:c r="H28" s="44" t="n">
        <x:v>4</x:v>
      </x:c>
      <x:c r="I28" s="45" t="n">
        <x:v>144</x:v>
      </x:c>
    </x:row>
    <x:row r="29">
      <x:c r="A29" s="42" t="d">
        <x:v>2026-08-10T00:00:00.000Z</x:v>
      </x:c>
      <x:c r="B29" s="41" t="str">
        <x:v>Subscription Prospecting</x:v>
      </x:c>
      <x:c r="C29" s="41" t="str">
        <x:v>Acquire first-time subscribers</x:v>
      </x:c>
      <x:c r="D29" s="41" t="str">
        <x:v>Google Search</x:v>
      </x:c>
      <x:c r="E29" s="43" t="n">
        <x:v>1101.6</x:v>
      </x:c>
      <x:c r="F29" s="44" t="n">
        <x:v>73440</x:v>
      </x:c>
      <x:c r="G29" s="44" t="n">
        <x:v>1385</x:v>
      </x:c>
      <x:c r="H29" s="44" t="n">
        <x:v>75</x:v>
      </x:c>
      <x:c r="I29" s="45" t="n">
        <x:v>3000</x:v>
      </x:c>
    </x:row>
    <x:row r="30">
      <x:c r="A30" s="42" t="d">
        <x:v>2026-08-10T00:00:00.000Z</x:v>
      </x:c>
      <x:c r="B30" s="41" t="str">
        <x:v>Subscription Prospecting</x:v>
      </x:c>
      <x:c r="C30" s="41" t="str">
        <x:v>Acquire first-time subscribers</x:v>
      </x:c>
      <x:c r="D30" s="41" t="str">
        <x:v>Meta Ads</x:v>
      </x:c>
      <x:c r="E30" s="43" t="n">
        <x:v>795.6</x:v>
      </x:c>
      <x:c r="F30" s="44" t="n">
        <x:v>79560</x:v>
      </x:c>
      <x:c r="G30" s="44" t="n">
        <x:v>848</x:v>
      </x:c>
      <x:c r="H30" s="44" t="n">
        <x:v>19</x:v>
      </x:c>
      <x:c r="I30" s="45" t="n">
        <x:v>760</x:v>
      </x:c>
    </x:row>
    <x:row r="31">
      <x:c r="A31" s="42" t="d">
        <x:v>2026-08-10T00:00:00.000Z</x:v>
      </x:c>
      <x:c r="B31" s="41" t="str">
        <x:v>Subscription Prospecting</x:v>
      </x:c>
      <x:c r="C31" s="41" t="str">
        <x:v>Acquire first-time subscribers</x:v>
      </x:c>
      <x:c r="D31" s="41" t="str">
        <x:v>Google Display</x:v>
      </x:c>
      <x:c r="E31" s="43" t="n">
        <x:v>489.6</x:v>
      </x:c>
      <x:c r="F31" s="44" t="n">
        <x:v>69943</x:v>
      </x:c>
      <x:c r="G31" s="44" t="n">
        <x:v>258</x:v>
      </x:c>
      <x:c r="H31" s="44" t="n">
        <x:v>3</x:v>
      </x:c>
      <x:c r="I31" s="45" t="n">
        <x:v>120</x:v>
      </x:c>
    </x:row>
    <x:row r="32">
      <x:c r="A32" s="42" t="d">
        <x:v>2026-08-10T00:00:00.000Z</x:v>
      </x:c>
      <x:c r="B32" s="41" t="str">
        <x:v>Seasonal Single Origin</x:v>
      </x:c>
      <x:c r="C32" s="41" t="str">
        <x:v>Drive seasonal product sales</x:v>
      </x:c>
      <x:c r="D32" s="41" t="str">
        <x:v>Google Search</x:v>
      </x:c>
      <x:c r="E32" s="43" t="n">
        <x:v>918</x:v>
      </x:c>
      <x:c r="F32" s="44" t="n">
        <x:v>61200</x:v>
      </x:c>
      <x:c r="G32" s="44" t="n">
        <x:v>1295</x:v>
      </x:c>
      <x:c r="H32" s="44" t="n">
        <x:v>68</x:v>
      </x:c>
      <x:c r="I32" s="45" t="n">
        <x:v>2312</x:v>
      </x:c>
    </x:row>
    <x:row r="33">
      <x:c r="A33" s="42" t="d">
        <x:v>2026-08-10T00:00:00.000Z</x:v>
      </x:c>
      <x:c r="B33" s="41" t="str">
        <x:v>Seasonal Single Origin</x:v>
      </x:c>
      <x:c r="C33" s="41" t="str">
        <x:v>Drive seasonal product sales</x:v>
      </x:c>
      <x:c r="D33" s="41" t="str">
        <x:v>Meta Ads</x:v>
      </x:c>
      <x:c r="E33" s="43" t="n">
        <x:v>663</x:v>
      </x:c>
      <x:c r="F33" s="44" t="n">
        <x:v>66300</x:v>
      </x:c>
      <x:c r="G33" s="44" t="n">
        <x:v>793</x:v>
      </x:c>
      <x:c r="H33" s="44" t="n">
        <x:v>17</x:v>
      </x:c>
      <x:c r="I33" s="45" t="n">
        <x:v>578</x:v>
      </x:c>
    </x:row>
    <x:row r="34">
      <x:c r="A34" s="42" t="d">
        <x:v>2026-08-10T00:00:00.000Z</x:v>
      </x:c>
      <x:c r="B34" s="41" t="str">
        <x:v>Seasonal Single Origin</x:v>
      </x:c>
      <x:c r="C34" s="41" t="str">
        <x:v>Drive seasonal product sales</x:v>
      </x:c>
      <x:c r="D34" s="41" t="str">
        <x:v>Google Display</x:v>
      </x:c>
      <x:c r="E34" s="43" t="n">
        <x:v>408</x:v>
      </x:c>
      <x:c r="F34" s="44" t="n">
        <x:v>58286</x:v>
      </x:c>
      <x:c r="G34" s="44" t="n">
        <x:v>241</x:v>
      </x:c>
      <x:c r="H34" s="44" t="n">
        <x:v>3</x:v>
      </x:c>
      <x:c r="I34" s="45" t="n">
        <x:v>102</x:v>
      </x:c>
    </x:row>
    <x:row r="35">
      <x:c r="A35" s="42" t="d">
        <x:v>2026-08-10T00:00:00.000Z</x:v>
      </x:c>
      <x:c r="B35" s="41" t="str">
        <x:v>Brew Gear Retargeting</x:v>
      </x:c>
      <x:c r="C35" s="41" t="str">
        <x:v>Convert returning product visitors</x:v>
      </x:c>
      <x:c r="D35" s="41" t="str">
        <x:v>Google Search</x:v>
      </x:c>
      <x:c r="E35" s="43" t="n">
        <x:v>734.4</x:v>
      </x:c>
      <x:c r="F35" s="44" t="n">
        <x:v>48960</x:v>
      </x:c>
      <x:c r="G35" s="44" t="n">
        <x:v>1295</x:v>
      </x:c>
      <x:c r="H35" s="44" t="n">
        <x:v>99</x:v>
      </x:c>
      <x:c r="I35" s="45" t="n">
        <x:v>6336</x:v>
      </x:c>
    </x:row>
    <x:row r="36">
      <x:c r="A36" s="42" t="d">
        <x:v>2026-08-10T00:00:00.000Z</x:v>
      </x:c>
      <x:c r="B36" s="41" t="str">
        <x:v>Brew Gear Retargeting</x:v>
      </x:c>
      <x:c r="C36" s="41" t="str">
        <x:v>Convert returning product visitors</x:v>
      </x:c>
      <x:c r="D36" s="41" t="str">
        <x:v>Meta Ads</x:v>
      </x:c>
      <x:c r="E36" s="43" t="n">
        <x:v>530.4</x:v>
      </x:c>
      <x:c r="F36" s="44" t="n">
        <x:v>53040</x:v>
      </x:c>
      <x:c r="G36" s="44" t="n">
        <x:v>793</x:v>
      </x:c>
      <x:c r="H36" s="44" t="n">
        <x:v>25</x:v>
      </x:c>
      <x:c r="I36" s="45" t="n">
        <x:v>1600</x:v>
      </x:c>
    </x:row>
    <x:row r="37">
      <x:c r="A37" s="42" t="d">
        <x:v>2026-08-10T00:00:00.000Z</x:v>
      </x:c>
      <x:c r="B37" s="41" t="str">
        <x:v>Brew Gear Retargeting</x:v>
      </x:c>
      <x:c r="C37" s="41" t="str">
        <x:v>Convert returning product visitors</x:v>
      </x:c>
      <x:c r="D37" s="41" t="str">
        <x:v>Google Display</x:v>
      </x:c>
      <x:c r="E37" s="43" t="n">
        <x:v>326.4</x:v>
      </x:c>
      <x:c r="F37" s="44" t="n">
        <x:v>46629</x:v>
      </x:c>
      <x:c r="G37" s="44" t="n">
        <x:v>241</x:v>
      </x:c>
      <x:c r="H37" s="44" t="n">
        <x:v>4</x:v>
      </x:c>
      <x:c r="I37" s="45" t="n">
        <x:v>256</x:v>
      </x:c>
    </x:row>
    <x:row r="38">
      <x:c r="A38" s="42" t="d">
        <x:v>2026-08-17T00:00:00.000Z</x:v>
      </x:c>
      <x:c r="B38" s="41" t="str">
        <x:v>Branded Search</x:v>
      </x:c>
      <x:c r="C38" s="41" t="str">
        <x:v>Capture high-intent brand demand</x:v>
      </x:c>
      <x:c r="D38" s="41" t="str">
        <x:v>Google Search</x:v>
      </x:c>
      <x:c r="E38" s="43" t="n">
        <x:v>573.3</x:v>
      </x:c>
      <x:c r="F38" s="44" t="n">
        <x:v>38220</x:v>
      </x:c>
      <x:c r="G38" s="44" t="n">
        <x:v>1187</x:v>
      </x:c>
      <x:c r="H38" s="44" t="n">
        <x:v>96</x:v>
      </x:c>
      <x:c r="I38" s="45" t="n">
        <x:v>3456</x:v>
      </x:c>
    </x:row>
    <x:row r="39">
      <x:c r="A39" s="42" t="d">
        <x:v>2026-08-17T00:00:00.000Z</x:v>
      </x:c>
      <x:c r="B39" s="41" t="str">
        <x:v>Branded Search</x:v>
      </x:c>
      <x:c r="C39" s="41" t="str">
        <x:v>Capture high-intent brand demand</x:v>
      </x:c>
      <x:c r="D39" s="41" t="str">
        <x:v>Meta Ads</x:v>
      </x:c>
      <x:c r="E39" s="43" t="n">
        <x:v>414.05</x:v>
      </x:c>
      <x:c r="F39" s="44" t="n">
        <x:v>41405</x:v>
      </x:c>
      <x:c r="G39" s="44" t="n">
        <x:v>727</x:v>
      </x:c>
      <x:c r="H39" s="44" t="n">
        <x:v>25</x:v>
      </x:c>
      <x:c r="I39" s="45" t="n">
        <x:v>900</x:v>
      </x:c>
    </x:row>
    <x:row r="40">
      <x:c r="A40" s="42" t="d">
        <x:v>2026-08-17T00:00:00.000Z</x:v>
      </x:c>
      <x:c r="B40" s="41" t="str">
        <x:v>Branded Search</x:v>
      </x:c>
      <x:c r="C40" s="41" t="str">
        <x:v>Capture high-intent brand demand</x:v>
      </x:c>
      <x:c r="D40" s="41" t="str">
        <x:v>Google Display</x:v>
      </x:c>
      <x:c r="E40" s="43" t="n">
        <x:v>254.8</x:v>
      </x:c>
      <x:c r="F40" s="44" t="n">
        <x:v>36400</x:v>
      </x:c>
      <x:c r="G40" s="44" t="n">
        <x:v>221</x:v>
      </x:c>
      <x:c r="H40" s="44" t="n">
        <x:v>4</x:v>
      </x:c>
      <x:c r="I40" s="45" t="n">
        <x:v>144</x:v>
      </x:c>
    </x:row>
    <x:row r="41">
      <x:c r="A41" s="42" t="d">
        <x:v>2026-08-17T00:00:00.000Z</x:v>
      </x:c>
      <x:c r="B41" s="41" t="str">
        <x:v>Subscription Prospecting</x:v>
      </x:c>
      <x:c r="C41" s="41" t="str">
        <x:v>Acquire first-time subscribers</x:v>
      </x:c>
      <x:c r="D41" s="41" t="str">
        <x:v>Google Search</x:v>
      </x:c>
      <x:c r="E41" s="43" t="n">
        <x:v>1058.4</x:v>
      </x:c>
      <x:c r="F41" s="44" t="n">
        <x:v>70560</x:v>
      </x:c>
      <x:c r="G41" s="44" t="n">
        <x:v>1331</x:v>
      </x:c>
      <x:c r="H41" s="44" t="n">
        <x:v>72</x:v>
      </x:c>
      <x:c r="I41" s="45" t="n">
        <x:v>2880</x:v>
      </x:c>
    </x:row>
    <x:row r="42">
      <x:c r="A42" s="42" t="d">
        <x:v>2026-08-17T00:00:00.000Z</x:v>
      </x:c>
      <x:c r="B42" s="41" t="str">
        <x:v>Subscription Prospecting</x:v>
      </x:c>
      <x:c r="C42" s="41" t="str">
        <x:v>Acquire first-time subscribers</x:v>
      </x:c>
      <x:c r="D42" s="41" t="str">
        <x:v>Meta Ads</x:v>
      </x:c>
      <x:c r="E42" s="43" t="n">
        <x:v>764.4</x:v>
      </x:c>
      <x:c r="F42" s="44" t="n">
        <x:v>76440</x:v>
      </x:c>
      <x:c r="G42" s="44" t="n">
        <x:v>815</x:v>
      </x:c>
      <x:c r="H42" s="44" t="n">
        <x:v>18</x:v>
      </x:c>
      <x:c r="I42" s="45" t="n">
        <x:v>720</x:v>
      </x:c>
    </x:row>
    <x:row r="43">
      <x:c r="A43" s="42" t="d">
        <x:v>2026-08-17T00:00:00.000Z</x:v>
      </x:c>
      <x:c r="B43" s="41" t="str">
        <x:v>Subscription Prospecting</x:v>
      </x:c>
      <x:c r="C43" s="41" t="str">
        <x:v>Acquire first-time subscribers</x:v>
      </x:c>
      <x:c r="D43" s="41" t="str">
        <x:v>Google Display</x:v>
      </x:c>
      <x:c r="E43" s="43" t="n">
        <x:v>470.4</x:v>
      </x:c>
      <x:c r="F43" s="44" t="n">
        <x:v>67200</x:v>
      </x:c>
      <x:c r="G43" s="44" t="n">
        <x:v>248</x:v>
      </x:c>
      <x:c r="H43" s="44" t="n">
        <x:v>3</x:v>
      </x:c>
      <x:c r="I43" s="45" t="n">
        <x:v>120</x:v>
      </x:c>
    </x:row>
    <x:row r="44">
      <x:c r="A44" s="42" t="d">
        <x:v>2026-08-17T00:00:00.000Z</x:v>
      </x:c>
      <x:c r="B44" s="41" t="str">
        <x:v>Seasonal Single Origin</x:v>
      </x:c>
      <x:c r="C44" s="41" t="str">
        <x:v>Drive seasonal product sales</x:v>
      </x:c>
      <x:c r="D44" s="41" t="str">
        <x:v>Google Search</x:v>
      </x:c>
      <x:c r="E44" s="43" t="n">
        <x:v>882</x:v>
      </x:c>
      <x:c r="F44" s="44" t="n">
        <x:v>58800</x:v>
      </x:c>
      <x:c r="G44" s="44" t="n">
        <x:v>1244</x:v>
      </x:c>
      <x:c r="H44" s="44" t="n">
        <x:v>66</x:v>
      </x:c>
      <x:c r="I44" s="45" t="n">
        <x:v>2244</x:v>
      </x:c>
    </x:row>
    <x:row r="45">
      <x:c r="A45" s="42" t="d">
        <x:v>2026-08-17T00:00:00.000Z</x:v>
      </x:c>
      <x:c r="B45" s="41" t="str">
        <x:v>Seasonal Single Origin</x:v>
      </x:c>
      <x:c r="C45" s="41" t="str">
        <x:v>Drive seasonal product sales</x:v>
      </x:c>
      <x:c r="D45" s="41" t="str">
        <x:v>Meta Ads</x:v>
      </x:c>
      <x:c r="E45" s="43" t="n">
        <x:v>637</x:v>
      </x:c>
      <x:c r="F45" s="44" t="n">
        <x:v>63700</x:v>
      </x:c>
      <x:c r="G45" s="44" t="n">
        <x:v>762</x:v>
      </x:c>
      <x:c r="H45" s="44" t="n">
        <x:v>17</x:v>
      </x:c>
      <x:c r="I45" s="45" t="n">
        <x:v>578</x:v>
      </x:c>
    </x:row>
    <x:row r="46">
      <x:c r="A46" s="42" t="d">
        <x:v>2026-08-17T00:00:00.000Z</x:v>
      </x:c>
      <x:c r="B46" s="41" t="str">
        <x:v>Seasonal Single Origin</x:v>
      </x:c>
      <x:c r="C46" s="41" t="str">
        <x:v>Drive seasonal product sales</x:v>
      </x:c>
      <x:c r="D46" s="41" t="str">
        <x:v>Google Display</x:v>
      </x:c>
      <x:c r="E46" s="43" t="n">
        <x:v>392</x:v>
      </x:c>
      <x:c r="F46" s="44" t="n">
        <x:v>56000</x:v>
      </x:c>
      <x:c r="G46" s="44" t="n">
        <x:v>232</x:v>
      </x:c>
      <x:c r="H46" s="44" t="n">
        <x:v>2</x:v>
      </x:c>
      <x:c r="I46" s="45" t="n">
        <x:v>68</x:v>
      </x:c>
    </x:row>
    <x:row r="47">
      <x:c r="A47" s="42" t="d">
        <x:v>2026-08-17T00:00:00.000Z</x:v>
      </x:c>
      <x:c r="B47" s="41" t="str">
        <x:v>Brew Gear Retargeting</x:v>
      </x:c>
      <x:c r="C47" s="41" t="str">
        <x:v>Convert returning product visitors</x:v>
      </x:c>
      <x:c r="D47" s="41" t="str">
        <x:v>Google Search</x:v>
      </x:c>
      <x:c r="E47" s="43" t="n">
        <x:v>705.6</x:v>
      </x:c>
      <x:c r="F47" s="44" t="n">
        <x:v>47040</x:v>
      </x:c>
      <x:c r="G47" s="44" t="n">
        <x:v>1244</x:v>
      </x:c>
      <x:c r="H47" s="44" t="n">
        <x:v>96</x:v>
      </x:c>
      <x:c r="I47" s="45" t="n">
        <x:v>6144</x:v>
      </x:c>
    </x:row>
    <x:row r="48">
      <x:c r="A48" s="42" t="d">
        <x:v>2026-08-17T00:00:00.000Z</x:v>
      </x:c>
      <x:c r="B48" s="41" t="str">
        <x:v>Brew Gear Retargeting</x:v>
      </x:c>
      <x:c r="C48" s="41" t="str">
        <x:v>Convert returning product visitors</x:v>
      </x:c>
      <x:c r="D48" s="41" t="str">
        <x:v>Meta Ads</x:v>
      </x:c>
      <x:c r="E48" s="43" t="n">
        <x:v>509.6</x:v>
      </x:c>
      <x:c r="F48" s="44" t="n">
        <x:v>50960</x:v>
      </x:c>
      <x:c r="G48" s="44" t="n">
        <x:v>762</x:v>
      </x:c>
      <x:c r="H48" s="44" t="n">
        <x:v>24</x:v>
      </x:c>
      <x:c r="I48" s="45" t="n">
        <x:v>1536</x:v>
      </x:c>
    </x:row>
    <x:row r="49">
      <x:c r="A49" s="42" t="d">
        <x:v>2026-08-17T00:00:00.000Z</x:v>
      </x:c>
      <x:c r="B49" s="41" t="str">
        <x:v>Brew Gear Retargeting</x:v>
      </x:c>
      <x:c r="C49" s="41" t="str">
        <x:v>Convert returning product visitors</x:v>
      </x:c>
      <x:c r="D49" s="41" t="str">
        <x:v>Google Display</x:v>
      </x:c>
      <x:c r="E49" s="43" t="n">
        <x:v>313.6</x:v>
      </x:c>
      <x:c r="F49" s="44" t="n">
        <x:v>44800</x:v>
      </x:c>
      <x:c r="G49" s="44" t="n">
        <x:v>232</x:v>
      </x:c>
      <x:c r="H49" s="44" t="n">
        <x:v>4</x:v>
      </x:c>
      <x:c r="I49" s="45" t="n">
        <x:v>256</x:v>
      </x:c>
    </x:row>
    <x:row r="50">
      <x:c r="A50" s="42" t="d">
        <x:v>2026-08-24T00:00:00.000Z</x:v>
      </x:c>
      <x:c r="B50" s="41" t="str">
        <x:v>Branded Search</x:v>
      </x:c>
      <x:c r="C50" s="41" t="str">
        <x:v>Capture high-intent brand demand</x:v>
      </x:c>
      <x:c r="D50" s="41" t="str">
        <x:v>Google Search</x:v>
      </x:c>
      <x:c r="E50" s="43" t="n">
        <x:v>614.25</x:v>
      </x:c>
      <x:c r="F50" s="44" t="n">
        <x:v>40950</x:v>
      </x:c>
      <x:c r="G50" s="44" t="n">
        <x:v>1271</x:v>
      </x:c>
      <x:c r="H50" s="44" t="n">
        <x:v>103</x:v>
      </x:c>
      <x:c r="I50" s="45" t="n">
        <x:v>3708</x:v>
      </x:c>
    </x:row>
    <x:row r="51">
      <x:c r="A51" s="42" t="d">
        <x:v>2026-08-24T00:00:00.000Z</x:v>
      </x:c>
      <x:c r="B51" s="41" t="str">
        <x:v>Branded Search</x:v>
      </x:c>
      <x:c r="C51" s="41" t="str">
        <x:v>Capture high-intent brand demand</x:v>
      </x:c>
      <x:c r="D51" s="41" t="str">
        <x:v>Meta Ads</x:v>
      </x:c>
      <x:c r="E51" s="43" t="n">
        <x:v>443.63</x:v>
      </x:c>
      <x:c r="F51" s="44" t="n">
        <x:v>44363</x:v>
      </x:c>
      <x:c r="G51" s="44" t="n">
        <x:v>779</x:v>
      </x:c>
      <x:c r="H51" s="44" t="n">
        <x:v>26</x:v>
      </x:c>
      <x:c r="I51" s="45" t="n">
        <x:v>936</x:v>
      </x:c>
    </x:row>
    <x:row r="52">
      <x:c r="A52" s="42" t="d">
        <x:v>2026-08-24T00:00:00.000Z</x:v>
      </x:c>
      <x:c r="B52" s="41" t="str">
        <x:v>Branded Search</x:v>
      </x:c>
      <x:c r="C52" s="41" t="str">
        <x:v>Capture high-intent brand demand</x:v>
      </x:c>
      <x:c r="D52" s="41" t="str">
        <x:v>Google Display</x:v>
      </x:c>
      <x:c r="E52" s="43" t="n">
        <x:v>273</x:v>
      </x:c>
      <x:c r="F52" s="44" t="n">
        <x:v>39000</x:v>
      </x:c>
      <x:c r="G52" s="44" t="n">
        <x:v>237</x:v>
      </x:c>
      <x:c r="H52" s="44" t="n">
        <x:v>4</x:v>
      </x:c>
      <x:c r="I52" s="45" t="n">
        <x:v>144</x:v>
      </x:c>
    </x:row>
    <x:row r="53">
      <x:c r="A53" s="42" t="d">
        <x:v>2026-08-24T00:00:00.000Z</x:v>
      </x:c>
      <x:c r="B53" s="41" t="str">
        <x:v>Subscription Prospecting</x:v>
      </x:c>
      <x:c r="C53" s="41" t="str">
        <x:v>Acquire first-time subscribers</x:v>
      </x:c>
      <x:c r="D53" s="41" t="str">
        <x:v>Google Search</x:v>
      </x:c>
      <x:c r="E53" s="43" t="n">
        <x:v>1134</x:v>
      </x:c>
      <x:c r="F53" s="44" t="n">
        <x:v>75600</x:v>
      </x:c>
      <x:c r="G53" s="44" t="n">
        <x:v>1426</x:v>
      </x:c>
      <x:c r="H53" s="44" t="n">
        <x:v>77</x:v>
      </x:c>
      <x:c r="I53" s="45" t="n">
        <x:v>3080</x:v>
      </x:c>
    </x:row>
    <x:row r="54">
      <x:c r="A54" s="42" t="d">
        <x:v>2026-08-24T00:00:00.000Z</x:v>
      </x:c>
      <x:c r="B54" s="41" t="str">
        <x:v>Subscription Prospecting</x:v>
      </x:c>
      <x:c r="C54" s="41" t="str">
        <x:v>Acquire first-time subscribers</x:v>
      </x:c>
      <x:c r="D54" s="41" t="str">
        <x:v>Meta Ads</x:v>
      </x:c>
      <x:c r="E54" s="43" t="n">
        <x:v>819</x:v>
      </x:c>
      <x:c r="F54" s="44" t="n">
        <x:v>81900</x:v>
      </x:c>
      <x:c r="G54" s="44" t="n">
        <x:v>873</x:v>
      </x:c>
      <x:c r="H54" s="44" t="n">
        <x:v>20</x:v>
      </x:c>
      <x:c r="I54" s="45" t="n">
        <x:v>800</x:v>
      </x:c>
    </x:row>
    <x:row r="55">
      <x:c r="A55" s="42" t="d">
        <x:v>2026-08-24T00:00:00.000Z</x:v>
      </x:c>
      <x:c r="B55" s="41" t="str">
        <x:v>Subscription Prospecting</x:v>
      </x:c>
      <x:c r="C55" s="41" t="str">
        <x:v>Acquire first-time subscribers</x:v>
      </x:c>
      <x:c r="D55" s="41" t="str">
        <x:v>Google Display</x:v>
      </x:c>
      <x:c r="E55" s="43" t="n">
        <x:v>504</x:v>
      </x:c>
      <x:c r="F55" s="44" t="n">
        <x:v>72000</x:v>
      </x:c>
      <x:c r="G55" s="44" t="n">
        <x:v>266</x:v>
      </x:c>
      <x:c r="H55" s="44" t="n">
        <x:v>3</x:v>
      </x:c>
      <x:c r="I55" s="45" t="n">
        <x:v>120</x:v>
      </x:c>
    </x:row>
    <x:row r="56">
      <x:c r="A56" s="42" t="d">
        <x:v>2026-08-24T00:00:00.000Z</x:v>
      </x:c>
      <x:c r="B56" s="41" t="str">
        <x:v>Seasonal Single Origin</x:v>
      </x:c>
      <x:c r="C56" s="41" t="str">
        <x:v>Drive seasonal product sales</x:v>
      </x:c>
      <x:c r="D56" s="41" t="str">
        <x:v>Google Search</x:v>
      </x:c>
      <x:c r="E56" s="43" t="n">
        <x:v>945</x:v>
      </x:c>
      <x:c r="F56" s="44" t="n">
        <x:v>63000</x:v>
      </x:c>
      <x:c r="G56" s="44" t="n">
        <x:v>1333</x:v>
      </x:c>
      <x:c r="H56" s="44" t="n">
        <x:v>70</x:v>
      </x:c>
      <x:c r="I56" s="45" t="n">
        <x:v>2380</x:v>
      </x:c>
    </x:row>
    <x:row r="57">
      <x:c r="A57" s="42" t="d">
        <x:v>2026-08-24T00:00:00.000Z</x:v>
      </x:c>
      <x:c r="B57" s="41" t="str">
        <x:v>Seasonal Single Origin</x:v>
      </x:c>
      <x:c r="C57" s="41" t="str">
        <x:v>Drive seasonal product sales</x:v>
      </x:c>
      <x:c r="D57" s="41" t="str">
        <x:v>Meta Ads</x:v>
      </x:c>
      <x:c r="E57" s="43" t="n">
        <x:v>682.5</x:v>
      </x:c>
      <x:c r="F57" s="44" t="n">
        <x:v>68250</x:v>
      </x:c>
      <x:c r="G57" s="44" t="n">
        <x:v>816</x:v>
      </x:c>
      <x:c r="H57" s="44" t="n">
        <x:v>18</x:v>
      </x:c>
      <x:c r="I57" s="45" t="n">
        <x:v>612</x:v>
      </x:c>
    </x:row>
    <x:row r="58">
      <x:c r="A58" s="42" t="d">
        <x:v>2026-08-24T00:00:00.000Z</x:v>
      </x:c>
      <x:c r="B58" s="41" t="str">
        <x:v>Seasonal Single Origin</x:v>
      </x:c>
      <x:c r="C58" s="41" t="str">
        <x:v>Drive seasonal product sales</x:v>
      </x:c>
      <x:c r="D58" s="41" t="str">
        <x:v>Google Display</x:v>
      </x:c>
      <x:c r="E58" s="43" t="n">
        <x:v>420</x:v>
      </x:c>
      <x:c r="F58" s="44" t="n">
        <x:v>60000</x:v>
      </x:c>
      <x:c r="G58" s="44" t="n">
        <x:v>248</x:v>
      </x:c>
      <x:c r="H58" s="44" t="n">
        <x:v>3</x:v>
      </x:c>
      <x:c r="I58" s="45" t="n">
        <x:v>102</x:v>
      </x:c>
    </x:row>
    <x:row r="59">
      <x:c r="A59" s="42" t="d">
        <x:v>2026-08-24T00:00:00.000Z</x:v>
      </x:c>
      <x:c r="B59" s="41" t="str">
        <x:v>Brew Gear Retargeting</x:v>
      </x:c>
      <x:c r="C59" s="41" t="str">
        <x:v>Convert returning product visitors</x:v>
      </x:c>
      <x:c r="D59" s="41" t="str">
        <x:v>Google Search</x:v>
      </x:c>
      <x:c r="E59" s="43" t="n">
        <x:v>756</x:v>
      </x:c>
      <x:c r="F59" s="44" t="n">
        <x:v>50400</x:v>
      </x:c>
      <x:c r="G59" s="44" t="n">
        <x:v>1333</x:v>
      </x:c>
      <x:c r="H59" s="44" t="n">
        <x:v>102</x:v>
      </x:c>
      <x:c r="I59" s="45" t="n">
        <x:v>6528</x:v>
      </x:c>
    </x:row>
    <x:row r="60">
      <x:c r="A60" s="42" t="d">
        <x:v>2026-08-24T00:00:00.000Z</x:v>
      </x:c>
      <x:c r="B60" s="41" t="str">
        <x:v>Brew Gear Retargeting</x:v>
      </x:c>
      <x:c r="C60" s="41" t="str">
        <x:v>Convert returning product visitors</x:v>
      </x:c>
      <x:c r="D60" s="41" t="str">
        <x:v>Meta Ads</x:v>
      </x:c>
      <x:c r="E60" s="43" t="n">
        <x:v>546</x:v>
      </x:c>
      <x:c r="F60" s="44" t="n">
        <x:v>54600</x:v>
      </x:c>
      <x:c r="G60" s="44" t="n">
        <x:v>816</x:v>
      </x:c>
      <x:c r="H60" s="44" t="n">
        <x:v>26</x:v>
      </x:c>
      <x:c r="I60" s="45" t="n">
        <x:v>1664</x:v>
      </x:c>
    </x:row>
    <x:row r="61">
      <x:c r="A61" s="42" t="d">
        <x:v>2026-08-24T00:00:00.000Z</x:v>
      </x:c>
      <x:c r="B61" s="41" t="str">
        <x:v>Brew Gear Retargeting</x:v>
      </x:c>
      <x:c r="C61" s="41" t="str">
        <x:v>Convert returning product visitors</x:v>
      </x:c>
      <x:c r="D61" s="41" t="str">
        <x:v>Google Display</x:v>
      </x:c>
      <x:c r="E61" s="43" t="n">
        <x:v>336</x:v>
      </x:c>
      <x:c r="F61" s="44" t="n">
        <x:v>48000</x:v>
      </x:c>
      <x:c r="G61" s="44" t="n">
        <x:v>248</x:v>
      </x:c>
      <x:c r="H61" s="44" t="n">
        <x:v>4</x:v>
      </x:c>
      <x:c r="I61" s="45" t="n">
        <x:v>256</x:v>
      </x:c>
    </x:row>
    <x:row r="62">
      <x:c r="A62" s="42" t="d">
        <x:v>2026-08-31T00:00:00.000Z</x:v>
      </x:c>
      <x:c r="B62" s="41" t="str">
        <x:v>Branded Search</x:v>
      </x:c>
      <x:c r="C62" s="41" t="str">
        <x:v>Capture high-intent brand demand</x:v>
      </x:c>
      <x:c r="D62" s="41" t="str">
        <x:v>Google Search</x:v>
      </x:c>
      <x:c r="E62" s="43" t="n">
        <x:v>643.5</x:v>
      </x:c>
      <x:c r="F62" s="44" t="n">
        <x:v>42900</x:v>
      </x:c>
      <x:c r="G62" s="44" t="n">
        <x:v>1332</x:v>
      </x:c>
      <x:c r="H62" s="44" t="n">
        <x:v>108</x:v>
      </x:c>
      <x:c r="I62" s="45" t="n">
        <x:v>3888</x:v>
      </x:c>
    </x:row>
    <x:row r="63">
      <x:c r="A63" s="42" t="d">
        <x:v>2026-08-31T00:00:00.000Z</x:v>
      </x:c>
      <x:c r="B63" s="41" t="str">
        <x:v>Branded Search</x:v>
      </x:c>
      <x:c r="C63" s="41" t="str">
        <x:v>Capture high-intent brand demand</x:v>
      </x:c>
      <x:c r="D63" s="41" t="str">
        <x:v>Meta Ads</x:v>
      </x:c>
      <x:c r="E63" s="43" t="n">
        <x:v>464.75</x:v>
      </x:c>
      <x:c r="F63" s="44" t="n">
        <x:v>46475</x:v>
      </x:c>
      <x:c r="G63" s="44" t="n">
        <x:v>816</x:v>
      </x:c>
      <x:c r="H63" s="44" t="n">
        <x:v>28</x:v>
      </x:c>
      <x:c r="I63" s="45" t="n">
        <x:v>1008</x:v>
      </x:c>
    </x:row>
    <x:row r="64">
      <x:c r="A64" s="42" t="d">
        <x:v>2026-08-31T00:00:00.000Z</x:v>
      </x:c>
      <x:c r="B64" s="41" t="str">
        <x:v>Branded Search</x:v>
      </x:c>
      <x:c r="C64" s="41" t="str">
        <x:v>Capture high-intent brand demand</x:v>
      </x:c>
      <x:c r="D64" s="41" t="str">
        <x:v>Google Display</x:v>
      </x:c>
      <x:c r="E64" s="43" t="n">
        <x:v>286</x:v>
      </x:c>
      <x:c r="F64" s="44" t="n">
        <x:v>40857</x:v>
      </x:c>
      <x:c r="G64" s="44" t="n">
        <x:v>248</x:v>
      </x:c>
      <x:c r="H64" s="44" t="n">
        <x:v>4</x:v>
      </x:c>
      <x:c r="I64" s="45" t="n">
        <x:v>144</x:v>
      </x:c>
    </x:row>
    <x:row r="65">
      <x:c r="A65" s="42" t="d">
        <x:v>2026-08-31T00:00:00.000Z</x:v>
      </x:c>
      <x:c r="B65" s="41" t="str">
        <x:v>Subscription Prospecting</x:v>
      </x:c>
      <x:c r="C65" s="41" t="str">
        <x:v>Acquire first-time subscribers</x:v>
      </x:c>
      <x:c r="D65" s="41" t="str">
        <x:v>Google Search</x:v>
      </x:c>
      <x:c r="E65" s="43" t="n">
        <x:v>1188</x:v>
      </x:c>
      <x:c r="F65" s="44" t="n">
        <x:v>79200</x:v>
      </x:c>
      <x:c r="G65" s="44" t="n">
        <x:v>1494</x:v>
      </x:c>
      <x:c r="H65" s="44" t="n">
        <x:v>81</x:v>
      </x:c>
      <x:c r="I65" s="45" t="n">
        <x:v>3240</x:v>
      </x:c>
    </x:row>
    <x:row r="66">
      <x:c r="A66" s="42" t="d">
        <x:v>2026-08-31T00:00:00.000Z</x:v>
      </x:c>
      <x:c r="B66" s="41" t="str">
        <x:v>Subscription Prospecting</x:v>
      </x:c>
      <x:c r="C66" s="41" t="str">
        <x:v>Acquire first-time subscribers</x:v>
      </x:c>
      <x:c r="D66" s="41" t="str">
        <x:v>Meta Ads</x:v>
      </x:c>
      <x:c r="E66" s="43" t="n">
        <x:v>858</x:v>
      </x:c>
      <x:c r="F66" s="44" t="n">
        <x:v>85800</x:v>
      </x:c>
      <x:c r="G66" s="44" t="n">
        <x:v>915</x:v>
      </x:c>
      <x:c r="H66" s="44" t="n">
        <x:v>21</x:v>
      </x:c>
      <x:c r="I66" s="45" t="n">
        <x:v>840</x:v>
      </x:c>
    </x:row>
    <x:row r="67">
      <x:c r="A67" s="42" t="d">
        <x:v>2026-08-31T00:00:00.000Z</x:v>
      </x:c>
      <x:c r="B67" s="41" t="str">
        <x:v>Subscription Prospecting</x:v>
      </x:c>
      <x:c r="C67" s="41" t="str">
        <x:v>Acquire first-time subscribers</x:v>
      </x:c>
      <x:c r="D67" s="41" t="str">
        <x:v>Google Display</x:v>
      </x:c>
      <x:c r="E67" s="43" t="n">
        <x:v>528</x:v>
      </x:c>
      <x:c r="F67" s="44" t="n">
        <x:v>75429</x:v>
      </x:c>
      <x:c r="G67" s="44" t="n">
        <x:v>278</x:v>
      </x:c>
      <x:c r="H67" s="44" t="n">
        <x:v>3</x:v>
      </x:c>
      <x:c r="I67" s="45" t="n">
        <x:v>120</x:v>
      </x:c>
    </x:row>
    <x:row r="68">
      <x:c r="A68" s="42" t="d">
        <x:v>2026-08-31T00:00:00.000Z</x:v>
      </x:c>
      <x:c r="B68" s="41" t="str">
        <x:v>Seasonal Single Origin</x:v>
      </x:c>
      <x:c r="C68" s="41" t="str">
        <x:v>Drive seasonal product sales</x:v>
      </x:c>
      <x:c r="D68" s="41" t="str">
        <x:v>Google Search</x:v>
      </x:c>
      <x:c r="E68" s="43" t="n">
        <x:v>990</x:v>
      </x:c>
      <x:c r="F68" s="44" t="n">
        <x:v>66000</x:v>
      </x:c>
      <x:c r="G68" s="44" t="n">
        <x:v>1397</x:v>
      </x:c>
      <x:c r="H68" s="44" t="n">
        <x:v>74</x:v>
      </x:c>
      <x:c r="I68" s="45" t="n">
        <x:v>2516</x:v>
      </x:c>
    </x:row>
    <x:row r="69">
      <x:c r="A69" s="42" t="d">
        <x:v>2026-08-31T00:00:00.000Z</x:v>
      </x:c>
      <x:c r="B69" s="41" t="str">
        <x:v>Seasonal Single Origin</x:v>
      </x:c>
      <x:c r="C69" s="41" t="str">
        <x:v>Drive seasonal product sales</x:v>
      </x:c>
      <x:c r="D69" s="41" t="str">
        <x:v>Meta Ads</x:v>
      </x:c>
      <x:c r="E69" s="43" t="n">
        <x:v>715</x:v>
      </x:c>
      <x:c r="F69" s="44" t="n">
        <x:v>71500</x:v>
      </x:c>
      <x:c r="G69" s="44" t="n">
        <x:v>855</x:v>
      </x:c>
      <x:c r="H69" s="44" t="n">
        <x:v>19</x:v>
      </x:c>
      <x:c r="I69" s="45" t="n">
        <x:v>646</x:v>
      </x:c>
    </x:row>
    <x:row r="70">
      <x:c r="A70" s="42" t="d">
        <x:v>2026-08-31T00:00:00.000Z</x:v>
      </x:c>
      <x:c r="B70" s="41" t="str">
        <x:v>Seasonal Single Origin</x:v>
      </x:c>
      <x:c r="C70" s="41" t="str">
        <x:v>Drive seasonal product sales</x:v>
      </x:c>
      <x:c r="D70" s="41" t="str">
        <x:v>Google Display</x:v>
      </x:c>
      <x:c r="E70" s="43" t="n">
        <x:v>440</x:v>
      </x:c>
      <x:c r="F70" s="44" t="n">
        <x:v>62857</x:v>
      </x:c>
      <x:c r="G70" s="44" t="n">
        <x:v>260</x:v>
      </x:c>
      <x:c r="H70" s="44" t="n">
        <x:v>3</x:v>
      </x:c>
      <x:c r="I70" s="45" t="n">
        <x:v>102</x:v>
      </x:c>
    </x:row>
    <x:row r="71">
      <x:c r="A71" s="42" t="d">
        <x:v>2026-08-31T00:00:00.000Z</x:v>
      </x:c>
      <x:c r="B71" s="41" t="str">
        <x:v>Brew Gear Retargeting</x:v>
      </x:c>
      <x:c r="C71" s="41" t="str">
        <x:v>Convert returning product visitors</x:v>
      </x:c>
      <x:c r="D71" s="41" t="str">
        <x:v>Google Search</x:v>
      </x:c>
      <x:c r="E71" s="43" t="n">
        <x:v>792</x:v>
      </x:c>
      <x:c r="F71" s="44" t="n">
        <x:v>52800</x:v>
      </x:c>
      <x:c r="G71" s="44" t="n">
        <x:v>1397</x:v>
      </x:c>
      <x:c r="H71" s="44" t="n">
        <x:v>107</x:v>
      </x:c>
      <x:c r="I71" s="45" t="n">
        <x:v>6848</x:v>
      </x:c>
    </x:row>
    <x:row r="72">
      <x:c r="A72" s="42" t="d">
        <x:v>2026-08-31T00:00:00.000Z</x:v>
      </x:c>
      <x:c r="B72" s="41" t="str">
        <x:v>Brew Gear Retargeting</x:v>
      </x:c>
      <x:c r="C72" s="41" t="str">
        <x:v>Convert returning product visitors</x:v>
      </x:c>
      <x:c r="D72" s="41" t="str">
        <x:v>Meta Ads</x:v>
      </x:c>
      <x:c r="E72" s="43" t="n">
        <x:v>572</x:v>
      </x:c>
      <x:c r="F72" s="44" t="n">
        <x:v>57200</x:v>
      </x:c>
      <x:c r="G72" s="44" t="n">
        <x:v>855</x:v>
      </x:c>
      <x:c r="H72" s="44" t="n">
        <x:v>27</x:v>
      </x:c>
      <x:c r="I72" s="45" t="n">
        <x:v>1728</x:v>
      </x:c>
    </x:row>
    <x:row r="73">
      <x:c r="A73" s="42" t="d">
        <x:v>2026-08-31T00:00:00.000Z</x:v>
      </x:c>
      <x:c r="B73" s="41" t="str">
        <x:v>Brew Gear Retargeting</x:v>
      </x:c>
      <x:c r="C73" s="41" t="str">
        <x:v>Convert returning product visitors</x:v>
      </x:c>
      <x:c r="D73" s="41" t="str">
        <x:v>Google Display</x:v>
      </x:c>
      <x:c r="E73" s="43" t="n">
        <x:v>352</x:v>
      </x:c>
      <x:c r="F73" s="44" t="n">
        <x:v>50286</x:v>
      </x:c>
      <x:c r="G73" s="44" t="n">
        <x:v>260</x:v>
      </x:c>
      <x:c r="H73" s="44" t="n">
        <x:v>4</x:v>
      </x:c>
      <x:c r="I73" s="45" t="n">
        <x:v>256</x:v>
      </x:c>
    </x:row>
    <x:row r="74">
      <x:c r="A74" s="42" t="d">
        <x:v>2026-09-07T00:00:00.000Z</x:v>
      </x:c>
      <x:c r="B74" s="41" t="str">
        <x:v>Branded Search</x:v>
      </x:c>
      <x:c r="C74" s="41" t="str">
        <x:v>Capture high-intent brand demand</x:v>
      </x:c>
      <x:c r="D74" s="41" t="str">
        <x:v>Google Search</x:v>
      </x:c>
      <x:c r="E74" s="43" t="n">
        <x:v>590.85</x:v>
      </x:c>
      <x:c r="F74" s="44" t="n">
        <x:v>39390</x:v>
      </x:c>
      <x:c r="G74" s="44" t="n">
        <x:v>1223</x:v>
      </x:c>
      <x:c r="H74" s="44" t="n">
        <x:v>99</x:v>
      </x:c>
      <x:c r="I74" s="45" t="n">
        <x:v>3564</x:v>
      </x:c>
    </x:row>
    <x:row r="75">
      <x:c r="A75" s="42" t="d">
        <x:v>2026-09-07T00:00:00.000Z</x:v>
      </x:c>
      <x:c r="B75" s="41" t="str">
        <x:v>Branded Search</x:v>
      </x:c>
      <x:c r="C75" s="41" t="str">
        <x:v>Capture high-intent brand demand</x:v>
      </x:c>
      <x:c r="D75" s="41" t="str">
        <x:v>Meta Ads</x:v>
      </x:c>
      <x:c r="E75" s="43" t="n">
        <x:v>426.73</x:v>
      </x:c>
      <x:c r="F75" s="44" t="n">
        <x:v>42673</x:v>
      </x:c>
      <x:c r="G75" s="44" t="n">
        <x:v>749</x:v>
      </x:c>
      <x:c r="H75" s="44" t="n">
        <x:v>25</x:v>
      </x:c>
      <x:c r="I75" s="45" t="n">
        <x:v>900</x:v>
      </x:c>
    </x:row>
    <x:row r="76">
      <x:c r="A76" s="42" t="d">
        <x:v>2026-09-07T00:00:00.000Z</x:v>
      </x:c>
      <x:c r="B76" s="41" t="str">
        <x:v>Branded Search</x:v>
      </x:c>
      <x:c r="C76" s="41" t="str">
        <x:v>Capture high-intent brand demand</x:v>
      </x:c>
      <x:c r="D76" s="41" t="str">
        <x:v>Google Display</x:v>
      </x:c>
      <x:c r="E76" s="43" t="n">
        <x:v>262.6</x:v>
      </x:c>
      <x:c r="F76" s="44" t="n">
        <x:v>37514</x:v>
      </x:c>
      <x:c r="G76" s="44" t="n">
        <x:v>228</x:v>
      </x:c>
      <x:c r="H76" s="44" t="n">
        <x:v>4</x:v>
      </x:c>
      <x:c r="I76" s="45" t="n">
        <x:v>144</x:v>
      </x:c>
    </x:row>
    <x:row r="77">
      <x:c r="A77" s="42" t="d">
        <x:v>2026-09-07T00:00:00.000Z</x:v>
      </x:c>
      <x:c r="B77" s="41" t="str">
        <x:v>Subscription Prospecting</x:v>
      </x:c>
      <x:c r="C77" s="41" t="str">
        <x:v>Acquire first-time subscribers</x:v>
      </x:c>
      <x:c r="D77" s="41" t="str">
        <x:v>Google Search</x:v>
      </x:c>
      <x:c r="E77" s="43" t="n">
        <x:v>1090.8</x:v>
      </x:c>
      <x:c r="F77" s="44" t="n">
        <x:v>72720</x:v>
      </x:c>
      <x:c r="G77" s="44" t="n">
        <x:v>1371</x:v>
      </x:c>
      <x:c r="H77" s="44" t="n">
        <x:v>74</x:v>
      </x:c>
      <x:c r="I77" s="45" t="n">
        <x:v>2960</x:v>
      </x:c>
    </x:row>
    <x:row r="78">
      <x:c r="A78" s="42" t="d">
        <x:v>2026-09-07T00:00:00.000Z</x:v>
      </x:c>
      <x:c r="B78" s="41" t="str">
        <x:v>Subscription Prospecting</x:v>
      </x:c>
      <x:c r="C78" s="41" t="str">
        <x:v>Acquire first-time subscribers</x:v>
      </x:c>
      <x:c r="D78" s="41" t="str">
        <x:v>Meta Ads</x:v>
      </x:c>
      <x:c r="E78" s="43" t="n">
        <x:v>787.8</x:v>
      </x:c>
      <x:c r="F78" s="44" t="n">
        <x:v>78780</x:v>
      </x:c>
      <x:c r="G78" s="44" t="n">
        <x:v>840</x:v>
      </x:c>
      <x:c r="H78" s="44" t="n">
        <x:v>19</x:v>
      </x:c>
      <x:c r="I78" s="45" t="n">
        <x:v>760</x:v>
      </x:c>
    </x:row>
    <x:row r="79">
      <x:c r="A79" s="42" t="d">
        <x:v>2026-09-07T00:00:00.000Z</x:v>
      </x:c>
      <x:c r="B79" s="41" t="str">
        <x:v>Subscription Prospecting</x:v>
      </x:c>
      <x:c r="C79" s="41" t="str">
        <x:v>Acquire first-time subscribers</x:v>
      </x:c>
      <x:c r="D79" s="41" t="str">
        <x:v>Google Display</x:v>
      </x:c>
      <x:c r="E79" s="43" t="n">
        <x:v>484.8</x:v>
      </x:c>
      <x:c r="F79" s="44" t="n">
        <x:v>69257</x:v>
      </x:c>
      <x:c r="G79" s="44" t="n">
        <x:v>256</x:v>
      </x:c>
      <x:c r="H79" s="44" t="n">
        <x:v>3</x:v>
      </x:c>
      <x:c r="I79" s="45" t="n">
        <x:v>120</x:v>
      </x:c>
    </x:row>
    <x:row r="80">
      <x:c r="A80" s="42" t="d">
        <x:v>2026-09-07T00:00:00.000Z</x:v>
      </x:c>
      <x:c r="B80" s="41" t="str">
        <x:v>Seasonal Single Origin</x:v>
      </x:c>
      <x:c r="C80" s="41" t="str">
        <x:v>Drive seasonal product sales</x:v>
      </x:c>
      <x:c r="D80" s="41" t="str">
        <x:v>Google Search</x:v>
      </x:c>
      <x:c r="E80" s="43" t="n">
        <x:v>909</x:v>
      </x:c>
      <x:c r="F80" s="44" t="n">
        <x:v>60600</x:v>
      </x:c>
      <x:c r="G80" s="44" t="n">
        <x:v>1282</x:v>
      </x:c>
      <x:c r="H80" s="44" t="n">
        <x:v>68</x:v>
      </x:c>
      <x:c r="I80" s="45" t="n">
        <x:v>2312</x:v>
      </x:c>
    </x:row>
    <x:row r="81">
      <x:c r="A81" s="42" t="d">
        <x:v>2026-09-07T00:00:00.000Z</x:v>
      </x:c>
      <x:c r="B81" s="41" t="str">
        <x:v>Seasonal Single Origin</x:v>
      </x:c>
      <x:c r="C81" s="41" t="str">
        <x:v>Drive seasonal product sales</x:v>
      </x:c>
      <x:c r="D81" s="41" t="str">
        <x:v>Meta Ads</x:v>
      </x:c>
      <x:c r="E81" s="43" t="n">
        <x:v>656.5</x:v>
      </x:c>
      <x:c r="F81" s="44" t="n">
        <x:v>65650</x:v>
      </x:c>
      <x:c r="G81" s="44" t="n">
        <x:v>785</x:v>
      </x:c>
      <x:c r="H81" s="44" t="n">
        <x:v>17</x:v>
      </x:c>
      <x:c r="I81" s="45" t="n">
        <x:v>578</x:v>
      </x:c>
    </x:row>
    <x:row r="82">
      <x:c r="A82" s="42" t="d">
        <x:v>2026-09-07T00:00:00.000Z</x:v>
      </x:c>
      <x:c r="B82" s="41" t="str">
        <x:v>Seasonal Single Origin</x:v>
      </x:c>
      <x:c r="C82" s="41" t="str">
        <x:v>Drive seasonal product sales</x:v>
      </x:c>
      <x:c r="D82" s="41" t="str">
        <x:v>Google Display</x:v>
      </x:c>
      <x:c r="E82" s="43" t="n">
        <x:v>404</x:v>
      </x:c>
      <x:c r="F82" s="44" t="n">
        <x:v>57714</x:v>
      </x:c>
      <x:c r="G82" s="44" t="n">
        <x:v>239</x:v>
      </x:c>
      <x:c r="H82" s="44" t="n">
        <x:v>3</x:v>
      </x:c>
      <x:c r="I82" s="45" t="n">
        <x:v>102</x:v>
      </x:c>
    </x:row>
    <x:row r="83">
      <x:c r="A83" s="42" t="d">
        <x:v>2026-09-07T00:00:00.000Z</x:v>
      </x:c>
      <x:c r="B83" s="41" t="str">
        <x:v>Brew Gear Retargeting</x:v>
      </x:c>
      <x:c r="C83" s="41" t="str">
        <x:v>Convert returning product visitors</x:v>
      </x:c>
      <x:c r="D83" s="41" t="str">
        <x:v>Google Search</x:v>
      </x:c>
      <x:c r="E83" s="43" t="n">
        <x:v>727.2</x:v>
      </x:c>
      <x:c r="F83" s="44" t="n">
        <x:v>48480</x:v>
      </x:c>
      <x:c r="G83" s="44" t="n">
        <x:v>1282</x:v>
      </x:c>
      <x:c r="H83" s="44" t="n">
        <x:v>98</x:v>
      </x:c>
      <x:c r="I83" s="45" t="n">
        <x:v>6272</x:v>
      </x:c>
    </x:row>
    <x:row r="84">
      <x:c r="A84" s="42" t="d">
        <x:v>2026-09-07T00:00:00.000Z</x:v>
      </x:c>
      <x:c r="B84" s="41" t="str">
        <x:v>Brew Gear Retargeting</x:v>
      </x:c>
      <x:c r="C84" s="41" t="str">
        <x:v>Convert returning product visitors</x:v>
      </x:c>
      <x:c r="D84" s="41" t="str">
        <x:v>Meta Ads</x:v>
      </x:c>
      <x:c r="E84" s="43" t="n">
        <x:v>525.2</x:v>
      </x:c>
      <x:c r="F84" s="44" t="n">
        <x:v>52520</x:v>
      </x:c>
      <x:c r="G84" s="44" t="n">
        <x:v>785</x:v>
      </x:c>
      <x:c r="H84" s="44" t="n">
        <x:v>25</x:v>
      </x:c>
      <x:c r="I84" s="45" t="n">
        <x:v>1600</x:v>
      </x:c>
    </x:row>
    <x:row r="85">
      <x:c r="A85" s="42" t="d">
        <x:v>2026-09-07T00:00:00.000Z</x:v>
      </x:c>
      <x:c r="B85" s="41" t="str">
        <x:v>Brew Gear Retargeting</x:v>
      </x:c>
      <x:c r="C85" s="41" t="str">
        <x:v>Convert returning product visitors</x:v>
      </x:c>
      <x:c r="D85" s="41" t="str">
        <x:v>Google Display</x:v>
      </x:c>
      <x:c r="E85" s="43" t="n">
        <x:v>323.2</x:v>
      </x:c>
      <x:c r="F85" s="44" t="n">
        <x:v>46171</x:v>
      </x:c>
      <x:c r="G85" s="44" t="n">
        <x:v>239</x:v>
      </x:c>
      <x:c r="H85" s="44" t="n">
        <x:v>4</x:v>
      </x:c>
      <x:c r="I85" s="45" t="n">
        <x:v>256</x:v>
      </x:c>
    </x:row>
    <x:row r="86">
      <x:c r="A86" s="42" t="d">
        <x:v>2026-09-14T00:00:00.000Z</x:v>
      </x:c>
      <x:c r="B86" s="41" t="str">
        <x:v>Branded Search</x:v>
      </x:c>
      <x:c r="C86" s="41" t="str">
        <x:v>Capture high-intent brand demand</x:v>
      </x:c>
      <x:c r="D86" s="41" t="str">
        <x:v>Google Search</x:v>
      </x:c>
      <x:c r="E86" s="43" t="n">
        <x:v>631.8</x:v>
      </x:c>
      <x:c r="F86" s="44" t="n">
        <x:v>42120</x:v>
      </x:c>
      <x:c r="G86" s="44" t="n">
        <x:v>1308</x:v>
      </x:c>
      <x:c r="H86" s="44" t="n">
        <x:v>106</x:v>
      </x:c>
      <x:c r="I86" s="45" t="n">
        <x:v>3816</x:v>
      </x:c>
    </x:row>
    <x:row r="87">
      <x:c r="A87" s="42" t="d">
        <x:v>2026-09-14T00:00:00.000Z</x:v>
      </x:c>
      <x:c r="B87" s="41" t="str">
        <x:v>Branded Search</x:v>
      </x:c>
      <x:c r="C87" s="41" t="str">
        <x:v>Capture high-intent brand demand</x:v>
      </x:c>
      <x:c r="D87" s="41" t="str">
        <x:v>Meta Ads</x:v>
      </x:c>
      <x:c r="E87" s="43" t="n">
        <x:v>456.3</x:v>
      </x:c>
      <x:c r="F87" s="44" t="n">
        <x:v>45630</x:v>
      </x:c>
      <x:c r="G87" s="44" t="n">
        <x:v>801</x:v>
      </x:c>
      <x:c r="H87" s="44" t="n">
        <x:v>27</x:v>
      </x:c>
      <x:c r="I87" s="45" t="n">
        <x:v>972</x:v>
      </x:c>
    </x:row>
    <x:row r="88">
      <x:c r="A88" s="42" t="d">
        <x:v>2026-09-14T00:00:00.000Z</x:v>
      </x:c>
      <x:c r="B88" s="41" t="str">
        <x:v>Branded Search</x:v>
      </x:c>
      <x:c r="C88" s="41" t="str">
        <x:v>Capture high-intent brand demand</x:v>
      </x:c>
      <x:c r="D88" s="41" t="str">
        <x:v>Google Display</x:v>
      </x:c>
      <x:c r="E88" s="43" t="n">
        <x:v>280.8</x:v>
      </x:c>
      <x:c r="F88" s="44" t="n">
        <x:v>40114</x:v>
      </x:c>
      <x:c r="G88" s="44" t="n">
        <x:v>244</x:v>
      </x:c>
      <x:c r="H88" s="44" t="n">
        <x:v>4</x:v>
      </x:c>
      <x:c r="I88" s="45" t="n">
        <x:v>144</x:v>
      </x:c>
    </x:row>
    <x:row r="89">
      <x:c r="A89" s="42" t="d">
        <x:v>2026-09-14T00:00:00.000Z</x:v>
      </x:c>
      <x:c r="B89" s="41" t="str">
        <x:v>Subscription Prospecting</x:v>
      </x:c>
      <x:c r="C89" s="41" t="str">
        <x:v>Acquire first-time subscribers</x:v>
      </x:c>
      <x:c r="D89" s="41" t="str">
        <x:v>Google Search</x:v>
      </x:c>
      <x:c r="E89" s="43" t="n">
        <x:v>1166.4</x:v>
      </x:c>
      <x:c r="F89" s="44" t="n">
        <x:v>77760</x:v>
      </x:c>
      <x:c r="G89" s="44" t="n">
        <x:v>1467</x:v>
      </x:c>
      <x:c r="H89" s="44" t="n">
        <x:v>79</x:v>
      </x:c>
      <x:c r="I89" s="45" t="n">
        <x:v>3160</x:v>
      </x:c>
    </x:row>
    <x:row r="90">
      <x:c r="A90" s="42" t="d">
        <x:v>2026-09-14T00:00:00.000Z</x:v>
      </x:c>
      <x:c r="B90" s="41" t="str">
        <x:v>Subscription Prospecting</x:v>
      </x:c>
      <x:c r="C90" s="41" t="str">
        <x:v>Acquire first-time subscribers</x:v>
      </x:c>
      <x:c r="D90" s="41" t="str">
        <x:v>Meta Ads</x:v>
      </x:c>
      <x:c r="E90" s="43" t="n">
        <x:v>842.4</x:v>
      </x:c>
      <x:c r="F90" s="44" t="n">
        <x:v>84240</x:v>
      </x:c>
      <x:c r="G90" s="44" t="n">
        <x:v>898</x:v>
      </x:c>
      <x:c r="H90" s="44" t="n">
        <x:v>20</x:v>
      </x:c>
      <x:c r="I90" s="45" t="n">
        <x:v>800</x:v>
      </x:c>
    </x:row>
    <x:row r="91">
      <x:c r="A91" s="42" t="d">
        <x:v>2026-09-14T00:00:00.000Z</x:v>
      </x:c>
      <x:c r="B91" s="41" t="str">
        <x:v>Subscription Prospecting</x:v>
      </x:c>
      <x:c r="C91" s="41" t="str">
        <x:v>Acquire first-time subscribers</x:v>
      </x:c>
      <x:c r="D91" s="41" t="str">
        <x:v>Google Display</x:v>
      </x:c>
      <x:c r="E91" s="43" t="n">
        <x:v>518.4</x:v>
      </x:c>
      <x:c r="F91" s="44" t="n">
        <x:v>74057</x:v>
      </x:c>
      <x:c r="G91" s="44" t="n">
        <x:v>273</x:v>
      </x:c>
      <x:c r="H91" s="44" t="n">
        <x:v>3</x:v>
      </x:c>
      <x:c r="I91" s="45" t="n">
        <x:v>120</x:v>
      </x:c>
    </x:row>
    <x:row r="92">
      <x:c r="A92" s="42" t="d">
        <x:v>2026-09-14T00:00:00.000Z</x:v>
      </x:c>
      <x:c r="B92" s="41" t="str">
        <x:v>Seasonal Single Origin</x:v>
      </x:c>
      <x:c r="C92" s="41" t="str">
        <x:v>Drive seasonal product sales</x:v>
      </x:c>
      <x:c r="D92" s="41" t="str">
        <x:v>Google Search</x:v>
      </x:c>
      <x:c r="E92" s="43" t="n">
        <x:v>972</x:v>
      </x:c>
      <x:c r="F92" s="44" t="n">
        <x:v>64800</x:v>
      </x:c>
      <x:c r="G92" s="44" t="n">
        <x:v>1371</x:v>
      </x:c>
      <x:c r="H92" s="44" t="n">
        <x:v>72</x:v>
      </x:c>
      <x:c r="I92" s="45" t="n">
        <x:v>2448</x:v>
      </x:c>
    </x:row>
    <x:row r="93">
      <x:c r="A93" s="42" t="d">
        <x:v>2026-09-14T00:00:00.000Z</x:v>
      </x:c>
      <x:c r="B93" s="41" t="str">
        <x:v>Seasonal Single Origin</x:v>
      </x:c>
      <x:c r="C93" s="41" t="str">
        <x:v>Drive seasonal product sales</x:v>
      </x:c>
      <x:c r="D93" s="41" t="str">
        <x:v>Meta Ads</x:v>
      </x:c>
      <x:c r="E93" s="43" t="n">
        <x:v>702</x:v>
      </x:c>
      <x:c r="F93" s="44" t="n">
        <x:v>70200</x:v>
      </x:c>
      <x:c r="G93" s="44" t="n">
        <x:v>840</x:v>
      </x:c>
      <x:c r="H93" s="44" t="n">
        <x:v>18</x:v>
      </x:c>
      <x:c r="I93" s="45" t="n">
        <x:v>612</x:v>
      </x:c>
    </x:row>
    <x:row r="94">
      <x:c r="A94" s="42" t="d">
        <x:v>2026-09-14T00:00:00.000Z</x:v>
      </x:c>
      <x:c r="B94" s="41" t="str">
        <x:v>Seasonal Single Origin</x:v>
      </x:c>
      <x:c r="C94" s="41" t="str">
        <x:v>Drive seasonal product sales</x:v>
      </x:c>
      <x:c r="D94" s="41" t="str">
        <x:v>Google Display</x:v>
      </x:c>
      <x:c r="E94" s="43" t="n">
        <x:v>432</x:v>
      </x:c>
      <x:c r="F94" s="44" t="n">
        <x:v>61714</x:v>
      </x:c>
      <x:c r="G94" s="44" t="n">
        <x:v>255</x:v>
      </x:c>
      <x:c r="H94" s="44" t="n">
        <x:v>3</x:v>
      </x:c>
      <x:c r="I94" s="45" t="n">
        <x:v>102</x:v>
      </x:c>
    </x:row>
    <x:row r="95">
      <x:c r="A95" s="42" t="d">
        <x:v>2026-09-14T00:00:00.000Z</x:v>
      </x:c>
      <x:c r="B95" s="41" t="str">
        <x:v>Brew Gear Retargeting</x:v>
      </x:c>
      <x:c r="C95" s="41" t="str">
        <x:v>Convert returning product visitors</x:v>
      </x:c>
      <x:c r="D95" s="41" t="str">
        <x:v>Google Search</x:v>
      </x:c>
      <x:c r="E95" s="43" t="n">
        <x:v>777.6</x:v>
      </x:c>
      <x:c r="F95" s="44" t="n">
        <x:v>51840</x:v>
      </x:c>
      <x:c r="G95" s="44" t="n">
        <x:v>1371</x:v>
      </x:c>
      <x:c r="H95" s="44" t="n">
        <x:v>105</x:v>
      </x:c>
      <x:c r="I95" s="45" t="n">
        <x:v>6720</x:v>
      </x:c>
    </x:row>
    <x:row r="96">
      <x:c r="A96" s="42" t="d">
        <x:v>2026-09-14T00:00:00.000Z</x:v>
      </x:c>
      <x:c r="B96" s="41" t="str">
        <x:v>Brew Gear Retargeting</x:v>
      </x:c>
      <x:c r="C96" s="41" t="str">
        <x:v>Convert returning product visitors</x:v>
      </x:c>
      <x:c r="D96" s="41" t="str">
        <x:v>Meta Ads</x:v>
      </x:c>
      <x:c r="E96" s="43" t="n">
        <x:v>561.6</x:v>
      </x:c>
      <x:c r="F96" s="44" t="n">
        <x:v>56160</x:v>
      </x:c>
      <x:c r="G96" s="44" t="n">
        <x:v>840</x:v>
      </x:c>
      <x:c r="H96" s="44" t="n">
        <x:v>27</x:v>
      </x:c>
      <x:c r="I96" s="45" t="n">
        <x:v>1728</x:v>
      </x:c>
    </x:row>
    <x:row r="97">
      <x:c r="A97" s="42" t="d">
        <x:v>2026-09-14T00:00:00.000Z</x:v>
      </x:c>
      <x:c r="B97" s="41" t="str">
        <x:v>Brew Gear Retargeting</x:v>
      </x:c>
      <x:c r="C97" s="41" t="str">
        <x:v>Convert returning product visitors</x:v>
      </x:c>
      <x:c r="D97" s="41" t="str">
        <x:v>Google Display</x:v>
      </x:c>
      <x:c r="E97" s="43" t="n">
        <x:v>345.6</x:v>
      </x:c>
      <x:c r="F97" s="44" t="n">
        <x:v>49371</x:v>
      </x:c>
      <x:c r="G97" s="44" t="n">
        <x:v>255</x:v>
      </x:c>
      <x:c r="H97" s="44" t="n">
        <x:v>4</x:v>
      </x:c>
      <x:c r="I97" s="45" t="n">
        <x:v>256</x:v>
      </x:c>
    </x:row>
    <x:row r="98">
      <x:c r="A98" s="42" t="d">
        <x:v>2026-09-21T00:00:00.000Z</x:v>
      </x:c>
      <x:c r="B98" s="41" t="str">
        <x:v>Branded Search</x:v>
      </x:c>
      <x:c r="C98" s="41" t="str">
        <x:v>Capture high-intent brand demand</x:v>
      </x:c>
      <x:c r="D98" s="41" t="str">
        <x:v>Google Search</x:v>
      </x:c>
      <x:c r="E98" s="43" t="n">
        <x:v>661.05</x:v>
      </x:c>
      <x:c r="F98" s="44" t="n">
        <x:v>44070</x:v>
      </x:c>
      <x:c r="G98" s="44" t="n">
        <x:v>1368</x:v>
      </x:c>
      <x:c r="H98" s="44" t="n">
        <x:v>111</x:v>
      </x:c>
      <x:c r="I98" s="45" t="n">
        <x:v>3996</x:v>
      </x:c>
    </x:row>
    <x:row r="99">
      <x:c r="A99" s="42" t="d">
        <x:v>2026-09-21T00:00:00.000Z</x:v>
      </x:c>
      <x:c r="B99" s="41" t="str">
        <x:v>Branded Search</x:v>
      </x:c>
      <x:c r="C99" s="41" t="str">
        <x:v>Capture high-intent brand demand</x:v>
      </x:c>
      <x:c r="D99" s="41" t="str">
        <x:v>Meta Ads</x:v>
      </x:c>
      <x:c r="E99" s="43" t="n">
        <x:v>477.42</x:v>
      </x:c>
      <x:c r="F99" s="44" t="n">
        <x:v>47742</x:v>
      </x:c>
      <x:c r="G99" s="44" t="n">
        <x:v>838</x:v>
      </x:c>
      <x:c r="H99" s="44" t="n">
        <x:v>28</x:v>
      </x:c>
      <x:c r="I99" s="45" t="n">
        <x:v>1008</x:v>
      </x:c>
    </x:row>
    <x:row r="100">
      <x:c r="A100" s="42" t="d">
        <x:v>2026-09-21T00:00:00.000Z</x:v>
      </x:c>
      <x:c r="B100" s="41" t="str">
        <x:v>Branded Search</x:v>
      </x:c>
      <x:c r="C100" s="41" t="str">
        <x:v>Capture high-intent brand demand</x:v>
      </x:c>
      <x:c r="D100" s="41" t="str">
        <x:v>Google Display</x:v>
      </x:c>
      <x:c r="E100" s="43" t="n">
        <x:v>293.8</x:v>
      </x:c>
      <x:c r="F100" s="44" t="n">
        <x:v>41971</x:v>
      </x:c>
      <x:c r="G100" s="44" t="n">
        <x:v>255</x:v>
      </x:c>
      <x:c r="H100" s="44" t="n">
        <x:v>4</x:v>
      </x:c>
      <x:c r="I100" s="45" t="n">
        <x:v>144</x:v>
      </x:c>
    </x:row>
    <x:row r="101">
      <x:c r="A101" s="42" t="d">
        <x:v>2026-09-21T00:00:00.000Z</x:v>
      </x:c>
      <x:c r="B101" s="41" t="str">
        <x:v>Subscription Prospecting</x:v>
      </x:c>
      <x:c r="C101" s="41" t="str">
        <x:v>Acquire first-time subscribers</x:v>
      </x:c>
      <x:c r="D101" s="41" t="str">
        <x:v>Google Search</x:v>
      </x:c>
      <x:c r="E101" s="43" t="n">
        <x:v>1220.4</x:v>
      </x:c>
      <x:c r="F101" s="44" t="n">
        <x:v>81360</x:v>
      </x:c>
      <x:c r="G101" s="44" t="n">
        <x:v>1534</x:v>
      </x:c>
      <x:c r="H101" s="44" t="n">
        <x:v>83</x:v>
      </x:c>
      <x:c r="I101" s="45" t="n">
        <x:v>3320</x:v>
      </x:c>
    </x:row>
    <x:row r="102">
      <x:c r="A102" s="42" t="d">
        <x:v>2026-09-21T00:00:00.000Z</x:v>
      </x:c>
      <x:c r="B102" s="41" t="str">
        <x:v>Subscription Prospecting</x:v>
      </x:c>
      <x:c r="C102" s="41" t="str">
        <x:v>Acquire first-time subscribers</x:v>
      </x:c>
      <x:c r="D102" s="41" t="str">
        <x:v>Meta Ads</x:v>
      </x:c>
      <x:c r="E102" s="43" t="n">
        <x:v>881.4</x:v>
      </x:c>
      <x:c r="F102" s="44" t="n">
        <x:v>88140</x:v>
      </x:c>
      <x:c r="G102" s="44" t="n">
        <x:v>940</x:v>
      </x:c>
      <x:c r="H102" s="44" t="n">
        <x:v>21</x:v>
      </x:c>
      <x:c r="I102" s="45" t="n">
        <x:v>840</x:v>
      </x:c>
    </x:row>
    <x:row r="103">
      <x:c r="A103" s="42" t="d">
        <x:v>2026-09-21T00:00:00.000Z</x:v>
      </x:c>
      <x:c r="B103" s="41" t="str">
        <x:v>Subscription Prospecting</x:v>
      </x:c>
      <x:c r="C103" s="41" t="str">
        <x:v>Acquire first-time subscribers</x:v>
      </x:c>
      <x:c r="D103" s="41" t="str">
        <x:v>Google Display</x:v>
      </x:c>
      <x:c r="E103" s="43" t="n">
        <x:v>542.4</x:v>
      </x:c>
      <x:c r="F103" s="44" t="n">
        <x:v>77486</x:v>
      </x:c>
      <x:c r="G103" s="44" t="n">
        <x:v>286</x:v>
      </x:c>
      <x:c r="H103" s="44" t="n">
        <x:v>3</x:v>
      </x:c>
      <x:c r="I103" s="45" t="n">
        <x:v>120</x:v>
      </x:c>
    </x:row>
    <x:row r="104">
      <x:c r="A104" s="42" t="d">
        <x:v>2026-09-21T00:00:00.000Z</x:v>
      </x:c>
      <x:c r="B104" s="41" t="str">
        <x:v>Seasonal Single Origin</x:v>
      </x:c>
      <x:c r="C104" s="41" t="str">
        <x:v>Drive seasonal product sales</x:v>
      </x:c>
      <x:c r="D104" s="41" t="str">
        <x:v>Google Search</x:v>
      </x:c>
      <x:c r="E104" s="43" t="n">
        <x:v>1017</x:v>
      </x:c>
      <x:c r="F104" s="44" t="n">
        <x:v>67800</x:v>
      </x:c>
      <x:c r="G104" s="44" t="n">
        <x:v>1435</x:v>
      </x:c>
      <x:c r="H104" s="44" t="n">
        <x:v>76</x:v>
      </x:c>
      <x:c r="I104" s="45" t="n">
        <x:v>2584</x:v>
      </x:c>
    </x:row>
    <x:row r="105">
      <x:c r="A105" s="42" t="d">
        <x:v>2026-09-21T00:00:00.000Z</x:v>
      </x:c>
      <x:c r="B105" s="41" t="str">
        <x:v>Seasonal Single Origin</x:v>
      </x:c>
      <x:c r="C105" s="41" t="str">
        <x:v>Drive seasonal product sales</x:v>
      </x:c>
      <x:c r="D105" s="41" t="str">
        <x:v>Meta Ads</x:v>
      </x:c>
      <x:c r="E105" s="43" t="n">
        <x:v>734.5</x:v>
      </x:c>
      <x:c r="F105" s="44" t="n">
        <x:v>73450</x:v>
      </x:c>
      <x:c r="G105" s="44" t="n">
        <x:v>878</x:v>
      </x:c>
      <x:c r="H105" s="44" t="n">
        <x:v>19</x:v>
      </x:c>
      <x:c r="I105" s="45" t="n">
        <x:v>646</x:v>
      </x:c>
    </x:row>
    <x:row r="106">
      <x:c r="A106" s="42" t="d">
        <x:v>2026-09-21T00:00:00.000Z</x:v>
      </x:c>
      <x:c r="B106" s="41" t="str">
        <x:v>Seasonal Single Origin</x:v>
      </x:c>
      <x:c r="C106" s="41" t="str">
        <x:v>Drive seasonal product sales</x:v>
      </x:c>
      <x:c r="D106" s="41" t="str">
        <x:v>Google Display</x:v>
      </x:c>
      <x:c r="E106" s="43" t="n">
        <x:v>452</x:v>
      </x:c>
      <x:c r="F106" s="44" t="n">
        <x:v>64571</x:v>
      </x:c>
      <x:c r="G106" s="44" t="n">
        <x:v>267</x:v>
      </x:c>
      <x:c r="H106" s="44" t="n">
        <x:v>3</x:v>
      </x:c>
      <x:c r="I106" s="45" t="n">
        <x:v>102</x:v>
      </x:c>
    </x:row>
    <x:row r="107">
      <x:c r="A107" s="42" t="d">
        <x:v>2026-09-21T00:00:00.000Z</x:v>
      </x:c>
      <x:c r="B107" s="41" t="str">
        <x:v>Brew Gear Retargeting</x:v>
      </x:c>
      <x:c r="C107" s="41" t="str">
        <x:v>Convert returning product visitors</x:v>
      </x:c>
      <x:c r="D107" s="41" t="str">
        <x:v>Google Search</x:v>
      </x:c>
      <x:c r="E107" s="43" t="n">
        <x:v>813.6</x:v>
      </x:c>
      <x:c r="F107" s="44" t="n">
        <x:v>54240</x:v>
      </x:c>
      <x:c r="G107" s="44" t="n">
        <x:v>1435</x:v>
      </x:c>
      <x:c r="H107" s="44" t="n">
        <x:v>110</x:v>
      </x:c>
      <x:c r="I107" s="45" t="n">
        <x:v>7040</x:v>
      </x:c>
    </x:row>
    <x:row r="108">
      <x:c r="A108" s="42" t="d">
        <x:v>2026-09-21T00:00:00.000Z</x:v>
      </x:c>
      <x:c r="B108" s="41" t="str">
        <x:v>Brew Gear Retargeting</x:v>
      </x:c>
      <x:c r="C108" s="41" t="str">
        <x:v>Convert returning product visitors</x:v>
      </x:c>
      <x:c r="D108" s="41" t="str">
        <x:v>Meta Ads</x:v>
      </x:c>
      <x:c r="E108" s="43" t="n">
        <x:v>587.6</x:v>
      </x:c>
      <x:c r="F108" s="44" t="n">
        <x:v>58760</x:v>
      </x:c>
      <x:c r="G108" s="44" t="n">
        <x:v>878</x:v>
      </x:c>
      <x:c r="H108" s="44" t="n">
        <x:v>28</x:v>
      </x:c>
      <x:c r="I108" s="45" t="n">
        <x:v>1792</x:v>
      </x:c>
    </x:row>
    <x:row r="109">
      <x:c r="A109" s="42" t="d">
        <x:v>2026-09-21T00:00:00.000Z</x:v>
      </x:c>
      <x:c r="B109" s="41" t="str">
        <x:v>Brew Gear Retargeting</x:v>
      </x:c>
      <x:c r="C109" s="41" t="str">
        <x:v>Convert returning product visitors</x:v>
      </x:c>
      <x:c r="D109" s="41" t="str">
        <x:v>Google Display</x:v>
      </x:c>
      <x:c r="E109" s="43" t="n">
        <x:v>361.6</x:v>
      </x:c>
      <x:c r="F109" s="44" t="n">
        <x:v>51657</x:v>
      </x:c>
      <x:c r="G109" s="44" t="n">
        <x:v>267</x:v>
      </x:c>
      <x:c r="H109" s="44" t="n">
        <x:v>4</x:v>
      </x:c>
      <x:c r="I109" s="45" t="n">
        <x:v>256</x:v>
      </x:c>
    </x:row>
    <x:row r="110">
      <x:c r="A110" s="42" t="d">
        <x:v>2026-09-28T00:00:00.000Z</x:v>
      </x:c>
      <x:c r="B110" s="41" t="str">
        <x:v>Branded Search</x:v>
      </x:c>
      <x:c r="C110" s="41" t="str">
        <x:v>Capture high-intent brand demand</x:v>
      </x:c>
      <x:c r="D110" s="41" t="str">
        <x:v>Google Search</x:v>
      </x:c>
      <x:c r="E110" s="43" t="n">
        <x:v>637.65</x:v>
      </x:c>
      <x:c r="F110" s="44" t="n">
        <x:v>42510</x:v>
      </x:c>
      <x:c r="G110" s="44" t="n">
        <x:v>1320</x:v>
      </x:c>
      <x:c r="H110" s="44" t="n">
        <x:v>107</x:v>
      </x:c>
      <x:c r="I110" s="45" t="n">
        <x:v>3852</x:v>
      </x:c>
    </x:row>
    <x:row r="111">
      <x:c r="A111" s="42" t="d">
        <x:v>2026-09-28T00:00:00.000Z</x:v>
      </x:c>
      <x:c r="B111" s="41" t="str">
        <x:v>Branded Search</x:v>
      </x:c>
      <x:c r="C111" s="41" t="str">
        <x:v>Capture high-intent brand demand</x:v>
      </x:c>
      <x:c r="D111" s="41" t="str">
        <x:v>Meta Ads</x:v>
      </x:c>
      <x:c r="E111" s="43" t="n">
        <x:v>460.53</x:v>
      </x:c>
      <x:c r="F111" s="44" t="n">
        <x:v>46053</x:v>
      </x:c>
      <x:c r="G111" s="44" t="n">
        <x:v>808</x:v>
      </x:c>
      <x:c r="H111" s="44" t="n">
        <x:v>27</x:v>
      </x:c>
      <x:c r="I111" s="45" t="n">
        <x:v>972</x:v>
      </x:c>
    </x:row>
    <x:row r="112">
      <x:c r="A112" s="42" t="d">
        <x:v>2026-09-28T00:00:00.000Z</x:v>
      </x:c>
      <x:c r="B112" s="41" t="str">
        <x:v>Branded Search</x:v>
      </x:c>
      <x:c r="C112" s="41" t="str">
        <x:v>Capture high-intent brand demand</x:v>
      </x:c>
      <x:c r="D112" s="41" t="str">
        <x:v>Google Display</x:v>
      </x:c>
      <x:c r="E112" s="43" t="n">
        <x:v>283.4</x:v>
      </x:c>
      <x:c r="F112" s="44" t="n">
        <x:v>40486</x:v>
      </x:c>
      <x:c r="G112" s="44" t="n">
        <x:v>246</x:v>
      </x:c>
      <x:c r="H112" s="44" t="n">
        <x:v>4</x:v>
      </x:c>
      <x:c r="I112" s="45" t="n">
        <x:v>144</x:v>
      </x:c>
    </x:row>
    <x:row r="113">
      <x:c r="A113" s="42" t="d">
        <x:v>2026-09-28T00:00:00.000Z</x:v>
      </x:c>
      <x:c r="B113" s="41" t="str">
        <x:v>Subscription Prospecting</x:v>
      </x:c>
      <x:c r="C113" s="41" t="str">
        <x:v>Acquire first-time subscribers</x:v>
      </x:c>
      <x:c r="D113" s="41" t="str">
        <x:v>Google Search</x:v>
      </x:c>
      <x:c r="E113" s="43" t="n">
        <x:v>1177.2</x:v>
      </x:c>
      <x:c r="F113" s="44" t="n">
        <x:v>78480</x:v>
      </x:c>
      <x:c r="G113" s="44" t="n">
        <x:v>1480</x:v>
      </x:c>
      <x:c r="H113" s="44" t="n">
        <x:v>80</x:v>
      </x:c>
      <x:c r="I113" s="45" t="n">
        <x:v>3200</x:v>
      </x:c>
    </x:row>
    <x:row r="114">
      <x:c r="A114" s="42" t="d">
        <x:v>2026-09-28T00:00:00.000Z</x:v>
      </x:c>
      <x:c r="B114" s="41" t="str">
        <x:v>Subscription Prospecting</x:v>
      </x:c>
      <x:c r="C114" s="41" t="str">
        <x:v>Acquire first-time subscribers</x:v>
      </x:c>
      <x:c r="D114" s="41" t="str">
        <x:v>Meta Ads</x:v>
      </x:c>
      <x:c r="E114" s="43" t="n">
        <x:v>850.2</x:v>
      </x:c>
      <x:c r="F114" s="44" t="n">
        <x:v>85020</x:v>
      </x:c>
      <x:c r="G114" s="44" t="n">
        <x:v>906</x:v>
      </x:c>
      <x:c r="H114" s="44" t="n">
        <x:v>20</x:v>
      </x:c>
      <x:c r="I114" s="45" t="n">
        <x:v>800</x:v>
      </x:c>
    </x:row>
    <x:row r="115">
      <x:c r="A115" s="42" t="d">
        <x:v>2026-09-28T00:00:00.000Z</x:v>
      </x:c>
      <x:c r="B115" s="41" t="str">
        <x:v>Subscription Prospecting</x:v>
      </x:c>
      <x:c r="C115" s="41" t="str">
        <x:v>Acquire first-time subscribers</x:v>
      </x:c>
      <x:c r="D115" s="41" t="str">
        <x:v>Google Display</x:v>
      </x:c>
      <x:c r="E115" s="43" t="n">
        <x:v>523.2</x:v>
      </x:c>
      <x:c r="F115" s="44" t="n">
        <x:v>74743</x:v>
      </x:c>
      <x:c r="G115" s="44" t="n">
        <x:v>276</x:v>
      </x:c>
      <x:c r="H115" s="44" t="n">
        <x:v>3</x:v>
      </x:c>
      <x:c r="I115" s="45" t="n">
        <x:v>120</x:v>
      </x:c>
    </x:row>
    <x:row r="116">
      <x:c r="A116" s="42" t="d">
        <x:v>2026-09-28T00:00:00.000Z</x:v>
      </x:c>
      <x:c r="B116" s="41" t="str">
        <x:v>Seasonal Single Origin</x:v>
      </x:c>
      <x:c r="C116" s="41" t="str">
        <x:v>Drive seasonal product sales</x:v>
      </x:c>
      <x:c r="D116" s="41" t="str">
        <x:v>Google Search</x:v>
      </x:c>
      <x:c r="E116" s="43" t="n">
        <x:v>981</x:v>
      </x:c>
      <x:c r="F116" s="44" t="n">
        <x:v>65400</x:v>
      </x:c>
      <x:c r="G116" s="44" t="n">
        <x:v>1384</x:v>
      </x:c>
      <x:c r="H116" s="44" t="n">
        <x:v>73</x:v>
      </x:c>
      <x:c r="I116" s="45" t="n">
        <x:v>2482</x:v>
      </x:c>
    </x:row>
    <x:row r="117">
      <x:c r="A117" s="42" t="d">
        <x:v>2026-09-28T00:00:00.000Z</x:v>
      </x:c>
      <x:c r="B117" s="41" t="str">
        <x:v>Seasonal Single Origin</x:v>
      </x:c>
      <x:c r="C117" s="41" t="str">
        <x:v>Drive seasonal product sales</x:v>
      </x:c>
      <x:c r="D117" s="41" t="str">
        <x:v>Meta Ads</x:v>
      </x:c>
      <x:c r="E117" s="43" t="n">
        <x:v>708.5</x:v>
      </x:c>
      <x:c r="F117" s="44" t="n">
        <x:v>70850</x:v>
      </x:c>
      <x:c r="G117" s="44" t="n">
        <x:v>847</x:v>
      </x:c>
      <x:c r="H117" s="44" t="n">
        <x:v>19</x:v>
      </x:c>
      <x:c r="I117" s="45" t="n">
        <x:v>646</x:v>
      </x:c>
    </x:row>
    <x:row r="118">
      <x:c r="A118" s="42" t="d">
        <x:v>2026-09-28T00:00:00.000Z</x:v>
      </x:c>
      <x:c r="B118" s="41" t="str">
        <x:v>Seasonal Single Origin</x:v>
      </x:c>
      <x:c r="C118" s="41" t="str">
        <x:v>Drive seasonal product sales</x:v>
      </x:c>
      <x:c r="D118" s="41" t="str">
        <x:v>Google Display</x:v>
      </x:c>
      <x:c r="E118" s="43" t="n">
        <x:v>436</x:v>
      </x:c>
      <x:c r="F118" s="44" t="n">
        <x:v>62286</x:v>
      </x:c>
      <x:c r="G118" s="44" t="n">
        <x:v>258</x:v>
      </x:c>
      <x:c r="H118" s="44" t="n">
        <x:v>3</x:v>
      </x:c>
      <x:c r="I118" s="45" t="n">
        <x:v>102</x:v>
      </x:c>
    </x:row>
    <x:row r="119">
      <x:c r="A119" s="42" t="d">
        <x:v>2026-09-28T00:00:00.000Z</x:v>
      </x:c>
      <x:c r="B119" s="41" t="str">
        <x:v>Brew Gear Retargeting</x:v>
      </x:c>
      <x:c r="C119" s="41" t="str">
        <x:v>Convert returning product visitors</x:v>
      </x:c>
      <x:c r="D119" s="41" t="str">
        <x:v>Google Search</x:v>
      </x:c>
      <x:c r="E119" s="43" t="n">
        <x:v>784.8</x:v>
      </x:c>
      <x:c r="F119" s="44" t="n">
        <x:v>52320</x:v>
      </x:c>
      <x:c r="G119" s="44" t="n">
        <x:v>1384</x:v>
      </x:c>
      <x:c r="H119" s="44" t="n">
        <x:v>106</x:v>
      </x:c>
      <x:c r="I119" s="45" t="n">
        <x:v>6784</x:v>
      </x:c>
    </x:row>
    <x:row r="120">
      <x:c r="A120" s="42" t="d">
        <x:v>2026-09-28T00:00:00.000Z</x:v>
      </x:c>
      <x:c r="B120" s="41" t="str">
        <x:v>Brew Gear Retargeting</x:v>
      </x:c>
      <x:c r="C120" s="41" t="str">
        <x:v>Convert returning product visitors</x:v>
      </x:c>
      <x:c r="D120" s="41" t="str">
        <x:v>Meta Ads</x:v>
      </x:c>
      <x:c r="E120" s="43" t="n">
        <x:v>566.8</x:v>
      </x:c>
      <x:c r="F120" s="44" t="n">
        <x:v>56680</x:v>
      </x:c>
      <x:c r="G120" s="44" t="n">
        <x:v>847</x:v>
      </x:c>
      <x:c r="H120" s="44" t="n">
        <x:v>27</x:v>
      </x:c>
      <x:c r="I120" s="45" t="n">
        <x:v>1728</x:v>
      </x:c>
    </x:row>
    <x:row r="121">
      <x:c r="A121" s="42" t="d">
        <x:v>2026-09-28T00:00:00.000Z</x:v>
      </x:c>
      <x:c r="B121" s="41" t="str">
        <x:v>Brew Gear Retargeting</x:v>
      </x:c>
      <x:c r="C121" s="41" t="str">
        <x:v>Convert returning product visitors</x:v>
      </x:c>
      <x:c r="D121" s="41" t="str">
        <x:v>Google Display</x:v>
      </x:c>
      <x:c r="E121" s="43" t="n">
        <x:v>348.8</x:v>
      </x:c>
      <x:c r="F121" s="44" t="n">
        <x:v>49829</x:v>
      </x:c>
      <x:c r="G121" s="44" t="n">
        <x:v>258</x:v>
      </x:c>
      <x:c r="H121" s="44" t="n">
        <x:v>4</x:v>
      </x:c>
      <x:c r="I121" s="45" t="n">
        <x:v>256</x:v>
      </x:c>
    </x:row>
    <x:row r="122">
      <x:c r="A122" s="42" t="d">
        <x:v>2026-10-05T00:00:00.000Z</x:v>
      </x:c>
      <x:c r="B122" s="41" t="str">
        <x:v>Branded Search</x:v>
      </x:c>
      <x:c r="C122" s="41" t="str">
        <x:v>Capture high-intent brand demand</x:v>
      </x:c>
      <x:c r="D122" s="41" t="str">
        <x:v>Google Search</x:v>
      </x:c>
      <x:c r="E122" s="43" t="n">
        <x:v>684.45</x:v>
      </x:c>
      <x:c r="F122" s="44" t="n">
        <x:v>45630</x:v>
      </x:c>
      <x:c r="G122" s="44" t="n">
        <x:v>1417</x:v>
      </x:c>
      <x:c r="H122" s="44" t="n">
        <x:v>115</x:v>
      </x:c>
      <x:c r="I122" s="45" t="n">
        <x:v>4140</x:v>
      </x:c>
    </x:row>
    <x:row r="123">
      <x:c r="A123" s="42" t="d">
        <x:v>2026-10-05T00:00:00.000Z</x:v>
      </x:c>
      <x:c r="B123" s="41" t="str">
        <x:v>Branded Search</x:v>
      </x:c>
      <x:c r="C123" s="41" t="str">
        <x:v>Capture high-intent brand demand</x:v>
      </x:c>
      <x:c r="D123" s="41" t="str">
        <x:v>Meta Ads</x:v>
      </x:c>
      <x:c r="E123" s="43" t="n">
        <x:v>494.33</x:v>
      </x:c>
      <x:c r="F123" s="44" t="n">
        <x:v>49433</x:v>
      </x:c>
      <x:c r="G123" s="44" t="n">
        <x:v>868</x:v>
      </x:c>
      <x:c r="H123" s="44" t="n">
        <x:v>29</x:v>
      </x:c>
      <x:c r="I123" s="45" t="n">
        <x:v>1044</x:v>
      </x:c>
    </x:row>
    <x:row r="124">
      <x:c r="A124" s="42" t="d">
        <x:v>2026-10-05T00:00:00.000Z</x:v>
      </x:c>
      <x:c r="B124" s="41" t="str">
        <x:v>Branded Search</x:v>
      </x:c>
      <x:c r="C124" s="41" t="str">
        <x:v>Capture high-intent brand demand</x:v>
      </x:c>
      <x:c r="D124" s="41" t="str">
        <x:v>Google Display</x:v>
      </x:c>
      <x:c r="E124" s="43" t="n">
        <x:v>304.2</x:v>
      </x:c>
      <x:c r="F124" s="44" t="n">
        <x:v>43457</x:v>
      </x:c>
      <x:c r="G124" s="44" t="n">
        <x:v>264</x:v>
      </x:c>
      <x:c r="H124" s="44" t="n">
        <x:v>4</x:v>
      </x:c>
      <x:c r="I124" s="45" t="n">
        <x:v>144</x:v>
      </x:c>
    </x:row>
    <x:row r="125">
      <x:c r="A125" s="42" t="d">
        <x:v>2026-10-05T00:00:00.000Z</x:v>
      </x:c>
      <x:c r="B125" s="41" t="str">
        <x:v>Subscription Prospecting</x:v>
      </x:c>
      <x:c r="C125" s="41" t="str">
        <x:v>Acquire first-time subscribers</x:v>
      </x:c>
      <x:c r="D125" s="41" t="str">
        <x:v>Google Search</x:v>
      </x:c>
      <x:c r="E125" s="43" t="n">
        <x:v>1263.6</x:v>
      </x:c>
      <x:c r="F125" s="44" t="n">
        <x:v>84240</x:v>
      </x:c>
      <x:c r="G125" s="44" t="n">
        <x:v>1589</x:v>
      </x:c>
      <x:c r="H125" s="44" t="n">
        <x:v>86</x:v>
      </x:c>
      <x:c r="I125" s="45" t="n">
        <x:v>3440</x:v>
      </x:c>
    </x:row>
    <x:row r="126">
      <x:c r="A126" s="42" t="d">
        <x:v>2026-10-05T00:00:00.000Z</x:v>
      </x:c>
      <x:c r="B126" s="41" t="str">
        <x:v>Subscription Prospecting</x:v>
      </x:c>
      <x:c r="C126" s="41" t="str">
        <x:v>Acquire first-time subscribers</x:v>
      </x:c>
      <x:c r="D126" s="41" t="str">
        <x:v>Meta Ads</x:v>
      </x:c>
      <x:c r="E126" s="43" t="n">
        <x:v>912.6</x:v>
      </x:c>
      <x:c r="F126" s="44" t="n">
        <x:v>91260</x:v>
      </x:c>
      <x:c r="G126" s="44" t="n">
        <x:v>973</x:v>
      </x:c>
      <x:c r="H126" s="44" t="n">
        <x:v>22</x:v>
      </x:c>
      <x:c r="I126" s="45" t="n">
        <x:v>880</x:v>
      </x:c>
    </x:row>
    <x:row r="127">
      <x:c r="A127" s="42" t="d">
        <x:v>2026-10-05T00:00:00.000Z</x:v>
      </x:c>
      <x:c r="B127" s="41" t="str">
        <x:v>Subscription Prospecting</x:v>
      </x:c>
      <x:c r="C127" s="41" t="str">
        <x:v>Acquire first-time subscribers</x:v>
      </x:c>
      <x:c r="D127" s="41" t="str">
        <x:v>Google Display</x:v>
      </x:c>
      <x:c r="E127" s="43" t="n">
        <x:v>561.6</x:v>
      </x:c>
      <x:c r="F127" s="44" t="n">
        <x:v>80229</x:v>
      </x:c>
      <x:c r="G127" s="44" t="n">
        <x:v>296</x:v>
      </x:c>
      <x:c r="H127" s="44" t="n">
        <x:v>3</x:v>
      </x:c>
      <x:c r="I127" s="45" t="n">
        <x:v>120</x:v>
      </x:c>
    </x:row>
    <x:row r="128">
      <x:c r="A128" s="42" t="d">
        <x:v>2026-10-05T00:00:00.000Z</x:v>
      </x:c>
      <x:c r="B128" s="41" t="str">
        <x:v>Seasonal Single Origin</x:v>
      </x:c>
      <x:c r="C128" s="41" t="str">
        <x:v>Drive seasonal product sales</x:v>
      </x:c>
      <x:c r="D128" s="41" t="str">
        <x:v>Google Search</x:v>
      </x:c>
      <x:c r="E128" s="43" t="n">
        <x:v>1053</x:v>
      </x:c>
      <x:c r="F128" s="44" t="n">
        <x:v>70200</x:v>
      </x:c>
      <x:c r="G128" s="44" t="n">
        <x:v>1485</x:v>
      </x:c>
      <x:c r="H128" s="44" t="n">
        <x:v>78</x:v>
      </x:c>
      <x:c r="I128" s="45" t="n">
        <x:v>2652</x:v>
      </x:c>
    </x:row>
    <x:row r="129">
      <x:c r="A129" s="42" t="d">
        <x:v>2026-10-05T00:00:00.000Z</x:v>
      </x:c>
      <x:c r="B129" s="41" t="str">
        <x:v>Seasonal Single Origin</x:v>
      </x:c>
      <x:c r="C129" s="41" t="str">
        <x:v>Drive seasonal product sales</x:v>
      </x:c>
      <x:c r="D129" s="41" t="str">
        <x:v>Meta Ads</x:v>
      </x:c>
      <x:c r="E129" s="43" t="n">
        <x:v>760.5</x:v>
      </x:c>
      <x:c r="F129" s="44" t="n">
        <x:v>76050</x:v>
      </x:c>
      <x:c r="G129" s="44" t="n">
        <x:v>910</x:v>
      </x:c>
      <x:c r="H129" s="44" t="n">
        <x:v>20</x:v>
      </x:c>
      <x:c r="I129" s="45" t="n">
        <x:v>680</x:v>
      </x:c>
    </x:row>
    <x:row r="130">
      <x:c r="A130" s="42" t="d">
        <x:v>2026-10-05T00:00:00.000Z</x:v>
      </x:c>
      <x:c r="B130" s="41" t="str">
        <x:v>Seasonal Single Origin</x:v>
      </x:c>
      <x:c r="C130" s="41" t="str">
        <x:v>Drive seasonal product sales</x:v>
      </x:c>
      <x:c r="D130" s="41" t="str">
        <x:v>Google Display</x:v>
      </x:c>
      <x:c r="E130" s="43" t="n">
        <x:v>468</x:v>
      </x:c>
      <x:c r="F130" s="44" t="n">
        <x:v>66857</x:v>
      </x:c>
      <x:c r="G130" s="44" t="n">
        <x:v>277</x:v>
      </x:c>
      <x:c r="H130" s="44" t="n">
        <x:v>3</x:v>
      </x:c>
      <x:c r="I130" s="45" t="n">
        <x:v>102</x:v>
      </x:c>
    </x:row>
    <x:row r="131">
      <x:c r="A131" s="42" t="d">
        <x:v>2026-10-05T00:00:00.000Z</x:v>
      </x:c>
      <x:c r="B131" s="41" t="str">
        <x:v>Brew Gear Retargeting</x:v>
      </x:c>
      <x:c r="C131" s="41" t="str">
        <x:v>Convert returning product visitors</x:v>
      </x:c>
      <x:c r="D131" s="41" t="str">
        <x:v>Google Search</x:v>
      </x:c>
      <x:c r="E131" s="43" t="n">
        <x:v>842.4</x:v>
      </x:c>
      <x:c r="F131" s="44" t="n">
        <x:v>56160</x:v>
      </x:c>
      <x:c r="G131" s="44" t="n">
        <x:v>1485</x:v>
      </x:c>
      <x:c r="H131" s="44" t="n">
        <x:v>114</x:v>
      </x:c>
      <x:c r="I131" s="45" t="n">
        <x:v>7296</x:v>
      </x:c>
    </x:row>
    <x:row r="132">
      <x:c r="A132" s="42" t="d">
        <x:v>2026-10-05T00:00:00.000Z</x:v>
      </x:c>
      <x:c r="B132" s="41" t="str">
        <x:v>Brew Gear Retargeting</x:v>
      </x:c>
      <x:c r="C132" s="41" t="str">
        <x:v>Convert returning product visitors</x:v>
      </x:c>
      <x:c r="D132" s="41" t="str">
        <x:v>Meta Ads</x:v>
      </x:c>
      <x:c r="E132" s="43" t="n">
        <x:v>608.4</x:v>
      </x:c>
      <x:c r="F132" s="44" t="n">
        <x:v>60840</x:v>
      </x:c>
      <x:c r="G132" s="44" t="n">
        <x:v>910</x:v>
      </x:c>
      <x:c r="H132" s="44" t="n">
        <x:v>29</x:v>
      </x:c>
      <x:c r="I132" s="45" t="n">
        <x:v>1856</x:v>
      </x:c>
    </x:row>
    <x:row r="133">
      <x:c r="A133" s="42" t="d">
        <x:v>2026-10-05T00:00:00.000Z</x:v>
      </x:c>
      <x:c r="B133" s="41" t="str">
        <x:v>Brew Gear Retargeting</x:v>
      </x:c>
      <x:c r="C133" s="41" t="str">
        <x:v>Convert returning product visitors</x:v>
      </x:c>
      <x:c r="D133" s="41" t="str">
        <x:v>Google Display</x:v>
      </x:c>
      <x:c r="E133" s="43" t="n">
        <x:v>374.4</x:v>
      </x:c>
      <x:c r="F133" s="44" t="n">
        <x:v>53486</x:v>
      </x:c>
      <x:c r="G133" s="44" t="n">
        <x:v>277</x:v>
      </x:c>
      <x:c r="H133" s="44" t="n">
        <x:v>4</x:v>
      </x:c>
      <x:c r="I133" s="45" t="n">
        <x:v>256</x:v>
      </x:c>
    </x:row>
    <x:row r="134">
      <x:c r="A134" s="42" t="d">
        <x:v>2026-10-12T00:00:00.000Z</x:v>
      </x:c>
      <x:c r="B134" s="41" t="str">
        <x:v>Branded Search</x:v>
      </x:c>
      <x:c r="C134" s="41" t="str">
        <x:v>Capture high-intent brand demand</x:v>
      </x:c>
      <x:c r="D134" s="41" t="str">
        <x:v>Google Search</x:v>
      </x:c>
      <x:c r="E134" s="43" t="n">
        <x:v>702</x:v>
      </x:c>
      <x:c r="F134" s="44" t="n">
        <x:v>46800</x:v>
      </x:c>
      <x:c r="G134" s="44" t="n">
        <x:v>1453</x:v>
      </x:c>
      <x:c r="H134" s="44" t="n">
        <x:v>118</x:v>
      </x:c>
      <x:c r="I134" s="45" t="n">
        <x:v>4248</x:v>
      </x:c>
    </x:row>
    <x:row r="135">
      <x:c r="A135" s="42" t="d">
        <x:v>2026-10-12T00:00:00.000Z</x:v>
      </x:c>
      <x:c r="B135" s="41" t="str">
        <x:v>Branded Search</x:v>
      </x:c>
      <x:c r="C135" s="41" t="str">
        <x:v>Capture high-intent brand demand</x:v>
      </x:c>
      <x:c r="D135" s="41" t="str">
        <x:v>Meta Ads</x:v>
      </x:c>
      <x:c r="E135" s="43" t="n">
        <x:v>507</x:v>
      </x:c>
      <x:c r="F135" s="44" t="n">
        <x:v>50700</x:v>
      </x:c>
      <x:c r="G135" s="44" t="n">
        <x:v>890</x:v>
      </x:c>
      <x:c r="H135" s="44" t="n">
        <x:v>30</x:v>
      </x:c>
      <x:c r="I135" s="45" t="n">
        <x:v>1080</x:v>
      </x:c>
    </x:row>
    <x:row r="136">
      <x:c r="A136" s="42" t="d">
        <x:v>2026-10-12T00:00:00.000Z</x:v>
      </x:c>
      <x:c r="B136" s="41" t="str">
        <x:v>Branded Search</x:v>
      </x:c>
      <x:c r="C136" s="41" t="str">
        <x:v>Capture high-intent brand demand</x:v>
      </x:c>
      <x:c r="D136" s="41" t="str">
        <x:v>Google Display</x:v>
      </x:c>
      <x:c r="E136" s="43" t="n">
        <x:v>312</x:v>
      </x:c>
      <x:c r="F136" s="44" t="n">
        <x:v>44571</x:v>
      </x:c>
      <x:c r="G136" s="44" t="n">
        <x:v>271</x:v>
      </x:c>
      <x:c r="H136" s="44" t="n">
        <x:v>4</x:v>
      </x:c>
      <x:c r="I136" s="45" t="n">
        <x:v>144</x:v>
      </x:c>
    </x:row>
    <x:row r="137">
      <x:c r="A137" s="42" t="d">
        <x:v>2026-10-12T00:00:00.000Z</x:v>
      </x:c>
      <x:c r="B137" s="41" t="str">
        <x:v>Subscription Prospecting</x:v>
      </x:c>
      <x:c r="C137" s="41" t="str">
        <x:v>Acquire first-time subscribers</x:v>
      </x:c>
      <x:c r="D137" s="41" t="str">
        <x:v>Google Search</x:v>
      </x:c>
      <x:c r="E137" s="43" t="n">
        <x:v>1296</x:v>
      </x:c>
      <x:c r="F137" s="44" t="n">
        <x:v>86400</x:v>
      </x:c>
      <x:c r="G137" s="44" t="n">
        <x:v>1630</x:v>
      </x:c>
      <x:c r="H137" s="44" t="n">
        <x:v>88</x:v>
      </x:c>
      <x:c r="I137" s="45" t="n">
        <x:v>3520</x:v>
      </x:c>
    </x:row>
    <x:row r="138">
      <x:c r="A138" s="42" t="d">
        <x:v>2026-10-12T00:00:00.000Z</x:v>
      </x:c>
      <x:c r="B138" s="41" t="str">
        <x:v>Subscription Prospecting</x:v>
      </x:c>
      <x:c r="C138" s="41" t="str">
        <x:v>Acquire first-time subscribers</x:v>
      </x:c>
      <x:c r="D138" s="41" t="str">
        <x:v>Meta Ads</x:v>
      </x:c>
      <x:c r="E138" s="43" t="n">
        <x:v>936</x:v>
      </x:c>
      <x:c r="F138" s="44" t="n">
        <x:v>93600</x:v>
      </x:c>
      <x:c r="G138" s="44" t="n">
        <x:v>998</x:v>
      </x:c>
      <x:c r="H138" s="44" t="n">
        <x:v>22</x:v>
      </x:c>
      <x:c r="I138" s="45" t="n">
        <x:v>880</x:v>
      </x:c>
    </x:row>
    <x:row r="139">
      <x:c r="A139" s="42" t="d">
        <x:v>2026-10-12T00:00:00.000Z</x:v>
      </x:c>
      <x:c r="B139" s="41" t="str">
        <x:v>Subscription Prospecting</x:v>
      </x:c>
      <x:c r="C139" s="41" t="str">
        <x:v>Acquire first-time subscribers</x:v>
      </x:c>
      <x:c r="D139" s="41" t="str">
        <x:v>Google Display</x:v>
      </x:c>
      <x:c r="E139" s="43" t="n">
        <x:v>576</x:v>
      </x:c>
      <x:c r="F139" s="44" t="n">
        <x:v>82286</x:v>
      </x:c>
      <x:c r="G139" s="44" t="n">
        <x:v>304</x:v>
      </x:c>
      <x:c r="H139" s="44" t="n">
        <x:v>3</x:v>
      </x:c>
      <x:c r="I139" s="45" t="n">
        <x:v>120</x:v>
      </x:c>
    </x:row>
    <x:row r="140">
      <x:c r="A140" s="42" t="d">
        <x:v>2026-10-12T00:00:00.000Z</x:v>
      </x:c>
      <x:c r="B140" s="41" t="str">
        <x:v>Seasonal Single Origin</x:v>
      </x:c>
      <x:c r="C140" s="41" t="str">
        <x:v>Drive seasonal product sales</x:v>
      </x:c>
      <x:c r="D140" s="41" t="str">
        <x:v>Google Search</x:v>
      </x:c>
      <x:c r="E140" s="43" t="n">
        <x:v>1080</x:v>
      </x:c>
      <x:c r="F140" s="44" t="n">
        <x:v>72000</x:v>
      </x:c>
      <x:c r="G140" s="44" t="n">
        <x:v>1524</x:v>
      </x:c>
      <x:c r="H140" s="44" t="n">
        <x:v>80</x:v>
      </x:c>
      <x:c r="I140" s="45" t="n">
        <x:v>2720</x:v>
      </x:c>
    </x:row>
    <x:row r="141">
      <x:c r="A141" s="42" t="d">
        <x:v>2026-10-12T00:00:00.000Z</x:v>
      </x:c>
      <x:c r="B141" s="41" t="str">
        <x:v>Seasonal Single Origin</x:v>
      </x:c>
      <x:c r="C141" s="41" t="str">
        <x:v>Drive seasonal product sales</x:v>
      </x:c>
      <x:c r="D141" s="41" t="str">
        <x:v>Meta Ads</x:v>
      </x:c>
      <x:c r="E141" s="43" t="n">
        <x:v>780</x:v>
      </x:c>
      <x:c r="F141" s="44" t="n">
        <x:v>78000</x:v>
      </x:c>
      <x:c r="G141" s="44" t="n">
        <x:v>933</x:v>
      </x:c>
      <x:c r="H141" s="44" t="n">
        <x:v>21</x:v>
      </x:c>
      <x:c r="I141" s="45" t="n">
        <x:v>714</x:v>
      </x:c>
    </x:row>
    <x:row r="142">
      <x:c r="A142" s="42" t="d">
        <x:v>2026-10-12T00:00:00.000Z</x:v>
      </x:c>
      <x:c r="B142" s="41" t="str">
        <x:v>Seasonal Single Origin</x:v>
      </x:c>
      <x:c r="C142" s="41" t="str">
        <x:v>Drive seasonal product sales</x:v>
      </x:c>
      <x:c r="D142" s="41" t="str">
        <x:v>Google Display</x:v>
      </x:c>
      <x:c r="E142" s="43" t="n">
        <x:v>480</x:v>
      </x:c>
      <x:c r="F142" s="44" t="n">
        <x:v>68571</x:v>
      </x:c>
      <x:c r="G142" s="44" t="n">
        <x:v>284</x:v>
      </x:c>
      <x:c r="H142" s="44" t="n">
        <x:v>3</x:v>
      </x:c>
      <x:c r="I142" s="45" t="n">
        <x:v>102</x:v>
      </x:c>
    </x:row>
    <x:row r="143">
      <x:c r="A143" s="42" t="d">
        <x:v>2026-10-12T00:00:00.000Z</x:v>
      </x:c>
      <x:c r="B143" s="41" t="str">
        <x:v>Brew Gear Retargeting</x:v>
      </x:c>
      <x:c r="C143" s="41" t="str">
        <x:v>Convert returning product visitors</x:v>
      </x:c>
      <x:c r="D143" s="41" t="str">
        <x:v>Google Search</x:v>
      </x:c>
      <x:c r="E143" s="43" t="n">
        <x:v>864</x:v>
      </x:c>
      <x:c r="F143" s="44" t="n">
        <x:v>57600</x:v>
      </x:c>
      <x:c r="G143" s="44" t="n">
        <x:v>1524</x:v>
      </x:c>
      <x:c r="H143" s="44" t="n">
        <x:v>117</x:v>
      </x:c>
      <x:c r="I143" s="45" t="n">
        <x:v>7488</x:v>
      </x:c>
    </x:row>
    <x:row r="144">
      <x:c r="A144" s="42" t="d">
        <x:v>2026-10-12T00:00:00.000Z</x:v>
      </x:c>
      <x:c r="B144" s="41" t="str">
        <x:v>Brew Gear Retargeting</x:v>
      </x:c>
      <x:c r="C144" s="41" t="str">
        <x:v>Convert returning product visitors</x:v>
      </x:c>
      <x:c r="D144" s="41" t="str">
        <x:v>Meta Ads</x:v>
      </x:c>
      <x:c r="E144" s="43" t="n">
        <x:v>624</x:v>
      </x:c>
      <x:c r="F144" s="44" t="n">
        <x:v>62400</x:v>
      </x:c>
      <x:c r="G144" s="44" t="n">
        <x:v>933</x:v>
      </x:c>
      <x:c r="H144" s="44" t="n">
        <x:v>30</x:v>
      </x:c>
      <x:c r="I144" s="45" t="n">
        <x:v>1920</x:v>
      </x:c>
    </x:row>
    <x:row r="145">
      <x:c r="A145" s="42" t="d">
        <x:v>2026-10-12T00:00:00.000Z</x:v>
      </x:c>
      <x:c r="B145" s="41" t="str">
        <x:v>Brew Gear Retargeting</x:v>
      </x:c>
      <x:c r="C145" s="41" t="str">
        <x:v>Convert returning product visitors</x:v>
      </x:c>
      <x:c r="D145" s="41" t="str">
        <x:v>Google Display</x:v>
      </x:c>
      <x:c r="E145" s="43" t="n">
        <x:v>384</x:v>
      </x:c>
      <x:c r="F145" s="44" t="n">
        <x:v>54857</x:v>
      </x:c>
      <x:c r="G145" s="44" t="n">
        <x:v>284</x:v>
      </x:c>
      <x:c r="H145" s="44" t="n">
        <x:v>4</x:v>
      </x:c>
      <x:c r="I145" s="45" t="n">
        <x:v>256</x:v>
      </x:c>
    </x:row>
  </x:sheetData>
  <x:pageMargins left="0.7" right="0.7" top="0.75" bottom="0.75" header="0.3" footer="0.3"/>
</x:worksheet>
</file>