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564daaba24f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mpaign Planner" sheetId="1" r:id="R11be11e46fba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mmm d"/>
    <x:numFmt numFmtId="202" formatCode="#,##0"/>
  </x:numFmts>
  <x:fonts count="12">
    <x:font>
      <x:sz val="11"/>
      <x:name val="Carlito"/>
    </x:font>
    <x:font>
      <x:b/>
      <x:sz val="17"/>
      <x:color rgb="FFFFFFFF"/>
      <x:name val="Carlito"/>
    </x:font>
    <x:font>
      <x:i/>
      <x:sz val="10"/>
      <x:color rgb="FF202820"/>
      <x:name val="Carlito"/>
    </x:font>
    <x:font>
      <x:b/>
      <x:sz val="11"/>
      <x:color rgb="FFFFFFFF"/>
      <x:name val="Carlito"/>
    </x:font>
    <x:font>
      <x:b/>
      <x:sz val="11"/>
      <x:color rgb="FF202820"/>
      <x:name val="Carlito"/>
    </x:font>
    <x:font>
      <x:sz val="11"/>
      <x:color rgb="FF202820"/>
      <x:name val="Carlito"/>
    </x:font>
    <x:font>
      <x:b/>
      <x:sz val="10"/>
      <x:color rgb="FF202820"/>
      <x:name val="Carlito"/>
    </x:font>
    <x:font>
      <x:b/>
      <x:sz val="16"/>
      <x:color rgb="FF245B45"/>
      <x:name val="Carlito"/>
    </x:font>
    <x:font>
      <x:b/>
      <x:sz val="10"/>
      <x:color rgb="FFFFFFFF"/>
      <x:name val="Carlito"/>
    </x:font>
    <x:font>
      <x:sz val="9"/>
      <x:color rgb="FF202820"/>
      <x:name val="Carlito"/>
    </x:font>
    <x:font>
      <x:b/>
      <x:sz val="9"/>
      <x:color rgb="FF875421"/>
      <x:name val="Carlito"/>
    </x:font>
    <x:font>
      <x:sz val="9"/>
      <x:color rgb="FF245B45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45B45"/>
      </x:patternFill>
    </x:fill>
    <x:fill>
      <x:patternFill patternType="solid">
        <x:fgColor rgb="FFF5F4EF"/>
      </x:patternFill>
    </x:fill>
    <x:fill>
      <x:patternFill patternType="solid">
        <x:fgColor rgb="FFE8ECE4"/>
      </x:patternFill>
    </x:fill>
    <x:fill>
      <x:patternFill patternType="solid">
        <x:fgColor rgb="FFE7EAE2"/>
      </x:patternFill>
    </x:fill>
    <x:fill>
      <x:patternFill patternType="solid">
        <x:fgColor rgb="FF202820"/>
      </x:patternFill>
    </x:fill>
    <x:fill>
      <x:patternFill patternType="solid">
        <x:fgColor rgb="FFFFFEFA"/>
      </x:patternFill>
    </x:fill>
    <x:fill>
      <x:patternFill patternType="solid">
        <x:fgColor rgb="FFFFF4E7"/>
      </x:patternFill>
    </x:fill>
    <x:fill>
      <x:patternFill patternType="solid">
        <x:fgColor rgb="FFF1F7E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horizontal="center"/>
    </x:xf>
    <x:xf numFmtId="200" fontId="7" fillId="7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8" borderId="0" xfId="0" applyNumberFormat="1" applyFont="1" applyFill="1" applyBorder="1" applyAlignment="1">
      <x:alignment vertical="top" wrapText="1"/>
    </x:xf>
    <x:xf numFmtId="0" fontId="10" fillId="8" borderId="0" xfId="0" applyNumberFormat="1" applyFont="1" applyFill="1" applyBorder="1" applyAlignment="1">
      <x:alignment vertical="top" wrapText="1"/>
    </x:xf>
    <x:xf numFmtId="0" fontId="9" fillId="9" borderId="0" xfId="0" applyNumberFormat="1" applyFont="1" applyFill="1" applyBorder="1" applyAlignment="1">
      <x:alignment vertical="top" wrapText="1"/>
    </x:xf>
    <x:xf numFmtId="0" fontId="11" fillId="9" borderId="0" xfId="0" applyNumberFormat="1" applyFont="1" applyFill="1" applyBorder="1" applyAlignment="1">
      <x:alignment vertical="top" wrapText="1"/>
    </x:xf>
    <x:xf numFmtId="0" fontId="9" fillId="4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 wrapText="1"/>
    </x:xf>
    <x:xf numFmtId="201" fontId="9" fillId="3" borderId="0" xfId="0" applyNumberFormat="1" applyFont="1" applyFill="1" applyBorder="1" applyAlignment="1">
      <x:alignment vertical="top" wrapText="1"/>
    </x:xf>
    <x:xf numFmtId="200" fontId="11" fillId="4" borderId="0" xfId="0" applyNumberFormat="1" applyFont="1" applyFill="1" applyBorder="1" applyAlignment="1">
      <x:alignment vertical="top" wrapText="1"/>
    </x:xf>
    <x:xf numFmtId="202" fontId="11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039d738e1e4a53" /><Relationship Type="http://schemas.openxmlformats.org/officeDocument/2006/relationships/theme" Target="/xl/theme/theme1.xml" Id="Rfdb27db7ffbc4a0d" /><Relationship Type="http://schemas.openxmlformats.org/officeDocument/2006/relationships/sharedStrings" Target="/xl/sharedStrings.xml" Id="R3569cdbeee7d44c0" /><Relationship Type="http://schemas.openxmlformats.org/officeDocument/2006/relationships/worksheet" Target="/xl/worksheets/sheet1.xml" Id="R11be11e46fba45da" /></Relationships>
</file>

<file path=xl/theme/theme1.xml><?xml version="1.0" encoding="utf-8"?>
<a:theme xmlns:a="http://schemas.openxmlformats.org/drawingml/2006/main" name="ChatGPT">
  <a:themeElements>
    <a:clrScheme name="Signal">
      <a:dk1>
        <a:srgbClr val="202820"/>
      </a:dk1>
      <a:lt1>
        <a:srgbClr val="FFFEFA"/>
      </a:lt1>
      <a:dk2>
        <a:srgbClr val="0E2841"/>
      </a:dk2>
      <a:lt2>
        <a:srgbClr val="F5F4EF"/>
      </a:lt2>
      <a:accent1>
        <a:srgbClr val="245B45"/>
      </a:accent1>
      <a:accent2>
        <a:srgbClr val="D7EF70"/>
      </a:accent2>
      <a:accent3>
        <a:srgbClr val="E78352"/>
      </a:accent3>
      <a:accent4>
        <a:srgbClr val="CADFF1"/>
      </a:accent4>
      <a:accent5>
        <a:srgbClr val="8077A2"/>
      </a:accent5>
      <a:accent6>
        <a:srgbClr val="DBDDD4"/>
      </a:accent6>
      <a:hlink>
        <a:srgbClr val="245B45"/>
      </a:hlink>
      <a:folHlink>
        <a:srgbClr val="8077A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ignal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7" topLeftCell="C18" activePane="bottomRight" state="frozen"/>
    </x:sheetView>
  </x:sheetViews>
  <x:sheetFormatPr defaultRowHeight="15"/>
  <x:cols>
    <x:col min="1" max="1" width="6" hidden="0" customWidth="1"/>
    <x:col min="2" max="2" width="12" hidden="0" customWidth="1"/>
    <x:col min="3" max="3" width="20" hidden="0" customWidth="1"/>
    <x:col min="4" max="4" width="14" hidden="0" customWidth="1"/>
    <x:col min="5" max="5" width="16" hidden="0" customWidth="1"/>
    <x:col min="6" max="6" width="24" hidden="0" customWidth="1"/>
    <x:col min="7" max="7" width="31" hidden="0" customWidth="1"/>
    <x:col min="8" max="8" width="36" hidden="0" customWidth="1"/>
    <x:col min="9" max="9" width="48" hidden="0" customWidth="1"/>
    <x:col min="10" max="10" width="26" hidden="0" customWidth="1"/>
    <x:col min="11" max="11" width="27" hidden="0" customWidth="1"/>
    <x:col min="12" max="12" width="16" hidden="0" customWidth="1"/>
    <x:col min="13" max="13" width="11" hidden="0" customWidth="1"/>
    <x:col min="14" max="14" width="10" hidden="0" customWidth="1"/>
    <x:col min="15" max="15" width="12" hidden="0" customWidth="1"/>
    <x:col min="16" max="16" width="10" hidden="0" customWidth="1"/>
    <x:col min="17" max="17" width="10" hidden="0" customWidth="1"/>
    <x:col min="18" max="18" width="14" hidden="0" customWidth="1"/>
    <x:col min="19" max="19" width="12" hidden="0" customWidth="1"/>
    <x:col min="20" max="20" width="10" hidden="0" customWidth="1"/>
    <x:col min="21" max="21" width="15" hidden="0" customWidth="1"/>
    <x:col min="22" max="22" width="15" hidden="0" customWidth="1"/>
  </x:cols>
  <x:sheetData>
    <x:row r="1" ht="34" customHeight="1">
      <x:c r="A1" s="3" t="str">
        <x:v>NORTHSTAR COFFEE  /  INSTAGRAM CAMPAIGN</x:v>
      </x:c>
      <x:c r="B1" s="3"/>
      <x:c r="C1" s="3"/>
      <x:c r="D1" s="3"/>
      <x:c r="E1" s="3"/>
      <x:c r="F1" s="3"/>
      <x:c r="G1" s="3"/>
      <x:c r="H1" s="3"/>
    </x:row>
    <x:row r="2" ht="25" customHeight="1">
      <x:c r="A2" s="5" t="str">
        <x:v>30-day content calendar + scorecard  •  November 1–30, 2026  •  Fictional portfolio case study</x:v>
      </x:c>
      <x:c r="B2" s="5"/>
      <x:c r="C2" s="5"/>
      <x:c r="D2" s="5"/>
      <x:c r="E2" s="5"/>
      <x:c r="F2" s="5"/>
      <x:c r="G2" s="5"/>
      <x:c r="H2" s="5"/>
    </x:row>
    <x:row r="4">
      <x:c r="A4" s="6" t="str">
        <x:v>CAMPAIGN BRIEF</x:v>
      </x:c>
      <x:c r="B4" s="6" t="str"/>
      <x:c r="C4" s="6"/>
      <x:c r="D4" s="6" t="str">
        <x:v>CONTENT PILLARS</x:v>
      </x:c>
      <x:c r="E4" s="6"/>
      <x:c r="F4" s="6"/>
    </x:row>
    <x:row r="5" ht="50" customHeight="1">
      <x:c r="A5" s="8" t="str">
        <x:v>Brand</x:v>
      </x:c>
      <x:c r="B5" s="11" t="str">
        <x:v>Northstar Coffee — fictional direct-to-consumer specialty coffee brand</x:v>
      </x:c>
      <x:c r="D5" s="14" t="str">
        <x:v>Pillar</x:v>
      </x:c>
      <x:c r="E5" s="14" t="str">
        <x:v>Role</x:v>
      </x:c>
      <x:c r="F5" s="14" t="str">
        <x:v>Share</x:v>
      </x:c>
    </x:row>
    <x:row r="6" ht="42" customHeight="1">
      <x:c r="A6" s="8" t="str">
        <x:v>Audience</x:v>
      </x:c>
      <x:c r="B6" s="11" t="str">
        <x:v>Curious home brewers seeking better coffee, clear sourcing, and simple routines</x:v>
      </x:c>
      <x:c r="D6" s="15" t="str">
        <x:v>Brew Better</x:v>
      </x:c>
      <x:c r="E6" s="15" t="str">
        <x:v>Practical how-to and save-worthy recipes</x:v>
      </x:c>
      <x:c r="F6" s="15" t="str">
        <x:v>30%</x:v>
      </x:c>
    </x:row>
    <x:row r="7" ht="42" customHeight="1">
      <x:c r="A7" s="8" t="str">
        <x:v>Goal</x:v>
      </x:c>
      <x:c r="B7" s="11" t="str">
        <x:v>Build awareness and consideration; drive qualified profile visits, saves, shares, and subscription page clicks</x:v>
      </x:c>
      <x:c r="D7" s="15" t="str">
        <x:v>Origin &amp; Craft</x:v>
      </x:c>
      <x:c r="E7" s="15" t="str">
        <x:v>Sourcing, roast, and the people behind the cup</x:v>
      </x:c>
      <x:c r="F7" s="15" t="str">
        <x:v>25%</x:v>
      </x:c>
    </x:row>
    <x:row r="8" ht="42" customHeight="1">
      <x:c r="A8" s="8" t="str">
        <x:v>Cadence</x:v>
      </x:c>
      <x:c r="B8" s="11" t="str">
        <x:v>30 days: 5 feed posts + 2 story-first days each week. Publishing times are TBD until audience analytics are available.</x:v>
      </x:c>
      <x:c r="D8" s="15" t="str">
        <x:v>Coffee Moments</x:v>
      </x:c>
      <x:c r="E8" s="15" t="str">
        <x:v>Rituals, community, and relatable lifestyle</x:v>
      </x:c>
      <x:c r="F8" s="15" t="str">
        <x:v>25%</x:v>
      </x:c>
    </x:row>
    <x:row r="9" ht="42" customHeight="1">
      <x:c r="D9" s="15" t="str">
        <x:v>Product &amp; Community</x:v>
      </x:c>
      <x:c r="E9" s="15" t="str">
        <x:v>Product discovery, subscription value, and conversation</x:v>
      </x:c>
      <x:c r="F9" s="15" t="str">
        <x:v>20%</x:v>
      </x:c>
    </x:row>
    <x:row r="11" ht="28" customHeight="1">
      <x:c r="A11" s="17" t="str">
        <x:v>LIVE SCORECARD  /  Enter actual Instagram Insights after publishing; no results are fabricated.</x:v>
      </x:c>
      <x:c r="B11" s="17"/>
      <x:c r="C11" s="17"/>
      <x:c r="D11" s="17"/>
      <x:c r="E11" s="17"/>
      <x:c r="F11" s="17"/>
      <x:c r="G11" s="17"/>
      <x:c r="H11" s="17"/>
    </x:row>
    <x:row r="12" ht="32" customHeight="1">
      <x:c r="A12" s="19" t="str">
        <x:v>Planned posts</x:v>
      </x:c>
      <x:c r="B12" s="19" t="str">
        <x:v>Published</x:v>
      </x:c>
      <x:c r="C12" s="19" t="str">
        <x:v>Total reach</x:v>
      </x:c>
      <x:c r="D12" s="19" t="str">
        <x:v>Avg. engagement rate</x:v>
      </x:c>
      <x:c r="E12" s="19" t="str">
        <x:v>Saves + shares</x:v>
      </x:c>
      <x:c r="F12" s="19" t="str">
        <x:v>Profile visits</x:v>
      </x:c>
      <x:c r="G12" s="19" t="str">
        <x:v>Link clicks</x:v>
      </x:c>
      <x:c r="H12" s="19" t="str">
        <x:v>Follows</x:v>
      </x:c>
    </x:row>
    <x:row r="13" ht="38" customHeight="1">
      <x:c r="A13" s="22" t="n">
        <x:f>COUNTA(A18:A47)</x:f>
        <x:v>30</x:v>
      </x:c>
      <x:c r="B13" s="22" t="n">
        <x:f>COUNTIF(L18:L47,"Published")</x:f>
        <x:v>0</x:v>
      </x:c>
      <x:c r="C13" s="22" t="n">
        <x:f>SUM(M18:M47)</x:f>
        <x:v>0</x:v>
      </x:c>
      <x:c r="D13" s="23" t="n">
        <x:f>IFERROR(AVERAGEIF(U18:U47,"&gt;0"),0)</x:f>
        <x:v>0</x:v>
      </x:c>
      <x:c r="E13" s="22" t="n">
        <x:f>SUM(P18:P47)+SUM(Q18:Q47)</x:f>
        <x:v>0</x:v>
      </x:c>
      <x:c r="F13" s="22" t="n">
        <x:f>SUM(R18:R47)</x:f>
        <x:v>0</x:v>
      </x:c>
      <x:c r="G13" s="22" t="n">
        <x:f>SUM(S18:S47)</x:f>
        <x:v>0</x:v>
      </x:c>
      <x:c r="H13" s="22" t="n">
        <x:f>SUM(T18:T47)</x:f>
        <x:v>0</x:v>
      </x:c>
    </x:row>
    <x:row r="15" ht="34" customHeight="1">
      <x:c r="A15" s="25" t="str">
        <x:v>CONTENT PLAN  →  Columns M:T are editable actual metrics. Engagement rate = (likes + comments + saves + shares) ÷ reach. Save/share rate = (saves + shares) ÷ reach. Compare against your own baseline; targets are intentionally blank.</x:v>
      </x:c>
      <x:c r="B15" s="25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  <x:c r="O15" s="25"/>
      <x:c r="P15" s="25"/>
      <x:c r="Q15" s="25"/>
      <x:c r="R15" s="25"/>
      <x:c r="S15" s="25"/>
      <x:c r="T15" s="25"/>
      <x:c r="U15" s="25"/>
      <x:c r="V15" s="25"/>
    </x:row>
    <x:row r="17" ht="38" customHeight="1">
      <x:c r="A17" s="28" t="str">
        <x:v>Day</x:v>
      </x:c>
      <x:c r="B17" s="28" t="str">
        <x:v>Date</x:v>
      </x:c>
      <x:c r="C17" s="28" t="str">
        <x:v>Pillar</x:v>
      </x:c>
      <x:c r="D17" s="28" t="str">
        <x:v>Format</x:v>
      </x:c>
      <x:c r="E17" s="28" t="str">
        <x:v>Journey stage</x:v>
      </x:c>
      <x:c r="F17" s="28" t="str">
        <x:v>Topic / angle</x:v>
      </x:c>
      <x:c r="G17" s="28" t="str">
        <x:v>Hook / opening</x:v>
      </x:c>
      <x:c r="H17" s="28" t="str">
        <x:v>Creative direction</x:v>
      </x:c>
      <x:c r="I17" s="28" t="str">
        <x:v>Caption draft</x:v>
      </x:c>
      <x:c r="J17" s="28" t="str">
        <x:v>CTA</x:v>
      </x:c>
      <x:c r="K17" s="28" t="str">
        <x:v>Hashtags</x:v>
      </x:c>
      <x:c r="L17" s="28" t="str">
        <x:v>Publish status</x:v>
      </x:c>
      <x:c r="M17" s="28" t="str">
        <x:v>Reach</x:v>
      </x:c>
      <x:c r="N17" s="28" t="str">
        <x:v>Likes</x:v>
      </x:c>
      <x:c r="O17" s="28" t="str">
        <x:v>Comments</x:v>
      </x:c>
      <x:c r="P17" s="28" t="str">
        <x:v>Saves</x:v>
      </x:c>
      <x:c r="Q17" s="28" t="str">
        <x:v>Shares</x:v>
      </x:c>
      <x:c r="R17" s="28" t="str">
        <x:v>Profile visits</x:v>
      </x:c>
      <x:c r="S17" s="28" t="str">
        <x:v>Link clicks</x:v>
      </x:c>
      <x:c r="T17" s="28" t="str">
        <x:v>Follows</x:v>
      </x:c>
      <x:c r="U17" s="28" t="str">
        <x:v>Engagement rate</x:v>
      </x:c>
      <x:c r="V17" s="28" t="str">
        <x:v>Save/share rate</x:v>
      </x:c>
    </x:row>
    <x:row r="18" ht="64" customHeight="1">
      <x:c r="A18" s="32" t="n">
        <x:v>1</x:v>
      </x:c>
      <x:c r="B18" s="39" t="d">
        <x:v>2026-11-01T00:00:00.000Z</x:v>
      </x:c>
      <x:c r="C18" s="31" t="str">
        <x:v>Brew Better</x:v>
      </x:c>
      <x:c r="D18" s="31" t="str">
        <x:v>Reel</x:v>
      </x:c>
      <x:c r="E18" s="31" t="str">
        <x:v>Awareness</x:v>
      </x:c>
      <x:c r="F18" s="31" t="str">
        <x:v>Dial in your grind</x:v>
      </x:c>
      <x:c r="G18" s="31" t="str">
        <x:v>Bitter cup? Start with the grind.</x:v>
      </x:c>
      <x:c r="H18" s="31" t="str">
        <x:v>Compare coarse vs fine grounds using the same beans; finish with the balanced cup.</x:v>
      </x:c>
      <x:c r="I18" s="31" t="str">
        <x:v>A bitter cup may be asking for a coarser grind. Change one variable at a time, taste, and keep the version you love. Small tweaks make better mornings.</x:v>
      </x:c>
      <x:c r="J18" s="31" t="str">
        <x:v>Save for your next brew.</x:v>
      </x:c>
      <x:c r="K18" s="31" t="str">
        <x:v>#NorthstarCoffee #BrewBetter #CoffeeAtHome</x:v>
      </x:c>
      <x:c r="L18" s="34" t="str">
        <x:v>Planned</x:v>
      </x:c>
      <x:c r="M18" s="41"/>
      <x:c r="N18" s="41"/>
      <x:c r="O18" s="41"/>
      <x:c r="P18" s="41"/>
      <x:c r="Q18" s="41"/>
      <x:c r="R18" s="41"/>
      <x:c r="S18" s="41"/>
      <x:c r="T18" s="41"/>
      <x:c r="U18" s="40" t="str">
        <x:f>IF(M18=0,"",(N18+O18+P18+Q18)/M18)</x:f>
      </x:c>
      <x:c r="V18" s="40" t="str">
        <x:f>IF(M18=0,"",(P18+Q18)/M18)</x:f>
      </x:c>
    </x:row>
    <x:row r="19" ht="64" customHeight="1">
      <x:c r="A19" s="32" t="n">
        <x:v>2</x:v>
      </x:c>
      <x:c r="B19" s="39" t="d">
        <x:v>2026-11-02T00:00:00.000Z</x:v>
      </x:c>
      <x:c r="C19" s="31" t="str">
        <x:v>Coffee Moments</x:v>
      </x:c>
      <x:c r="D19" s="31" t="str">
        <x:v>Stories</x:v>
      </x:c>
      <x:c r="E19" s="31" t="str">
        <x:v>Awareness</x:v>
      </x:c>
      <x:c r="F19" s="31" t="str">
        <x:v>Monday coffee ritual</x:v>
      </x:c>
      <x:c r="G19" s="31" t="str">
        <x:v>A tiny ritual can reset the morning.</x:v>
      </x:c>
      <x:c r="H19" s="31" t="str">
        <x:v>Kettle, bloom, first sip; poll: slow morning or grab-and-go?</x:v>
      </x:c>
      <x:c r="I19" s="31" t="str">
        <x:v>No perfect setup needed. Just a moment that belongs to you. How are you brewing today?</x:v>
      </x:c>
      <x:c r="J19" s="31" t="str">
        <x:v>Vote in the poll.</x:v>
      </x:c>
      <x:c r="K19" s="31" t="str">
        <x:v>#NorthstarCoffee #BrewBetter #CoffeeAtHome</x:v>
      </x:c>
      <x:c r="L19" s="34" t="str">
        <x:v>Planned</x:v>
      </x:c>
      <x:c r="M19" s="41"/>
      <x:c r="N19" s="41"/>
      <x:c r="O19" s="41"/>
      <x:c r="P19" s="41"/>
      <x:c r="Q19" s="41"/>
      <x:c r="R19" s="41"/>
      <x:c r="S19" s="41"/>
      <x:c r="T19" s="41"/>
      <x:c r="U19" s="40" t="str">
        <x:f>IF(M19=0,"",(N19+O19+P19+Q19)/M19)</x:f>
      </x:c>
      <x:c r="V19" s="40" t="str">
        <x:f>IF(M19=0,"",(P19+Q19)/M19)</x:f>
      </x:c>
    </x:row>
    <x:row r="20" ht="64" customHeight="1">
      <x:c r="A20" s="32" t="n">
        <x:v>3</x:v>
      </x:c>
      <x:c r="B20" s="39" t="d">
        <x:v>2026-11-03T00:00:00.000Z</x:v>
      </x:c>
      <x:c r="C20" s="31" t="str">
        <x:v>Origin &amp; Craft</x:v>
      </x:c>
      <x:c r="D20" s="31" t="str">
        <x:v>Carousel</x:v>
      </x:c>
      <x:c r="E20" s="31" t="str">
        <x:v>Consideration</x:v>
      </x:c>
      <x:c r="F20" s="31" t="str">
        <x:v>Single origin explained</x:v>
      </x:c>
      <x:c r="G20" s="31" t="str">
        <x:v>One coffee. One place. A lot of stories.</x:v>
      </x:c>
      <x:c r="H20" s="31" t="str">
        <x:v>Map, farm detail, cherry-to-bean, roasted cup; use verified sourcing details.</x:v>
      </x:c>
      <x:c r="I20" s="31" t="str">
        <x:v>Single origin points to coffee from one defined place. Place, variety, and process shape what you taste. Explore the story behind each lot.</x:v>
      </x:c>
      <x:c r="J20" s="31" t="str">
        <x:v>Swipe, then explore this week’s origin.</x:v>
      </x:c>
      <x:c r="K20" s="31" t="str">
        <x:v>#NorthstarCoffee #BrewBetter #CoffeeAtHome</x:v>
      </x:c>
      <x:c r="L20" s="34" t="str">
        <x:v>Planned</x:v>
      </x:c>
      <x:c r="M20" s="41"/>
      <x:c r="N20" s="41"/>
      <x:c r="O20" s="41"/>
      <x:c r="P20" s="41"/>
      <x:c r="Q20" s="41"/>
      <x:c r="R20" s="41"/>
      <x:c r="S20" s="41"/>
      <x:c r="T20" s="41"/>
      <x:c r="U20" s="40" t="str">
        <x:f>IF(M20=0,"",(N20+O20+P20+Q20)/M20)</x:f>
      </x:c>
      <x:c r="V20" s="40" t="str">
        <x:f>IF(M20=0,"",(P20+Q20)/M20)</x:f>
      </x:c>
    </x:row>
    <x:row r="21" ht="64" customHeight="1">
      <x:c r="A21" s="32" t="n">
        <x:v>4</x:v>
      </x:c>
      <x:c r="B21" s="39" t="d">
        <x:v>2026-11-04T00:00:00.000Z</x:v>
      </x:c>
      <x:c r="C21" s="31" t="str">
        <x:v>Brew Better</x:v>
      </x:c>
      <x:c r="D21" s="31" t="str">
        <x:v>Reel</x:v>
      </x:c>
      <x:c r="E21" s="31" t="str">
        <x:v>Awareness</x:v>
      </x:c>
      <x:c r="F21" s="31" t="str">
        <x:v>Blooming coffee</x:v>
      </x:c>
      <x:c r="G21" s="31" t="str">
        <x:v>That first pour is doing more than you think.</x:v>
      </x:c>
      <x:c r="H21" s="31" t="str">
        <x:v>Close-up pour-over bloom; overlay: wet evenly, wait 30–45 seconds.</x:v>
      </x:c>
      <x:c r="I21" s="31" t="str">
        <x:v>Give your grounds a short bloom before the main pour. It helps set up an even brew. Try it tomorrow and notice the difference.</x:v>
      </x:c>
      <x:c r="J21" s="31" t="str">
        <x:v>Save this brew reminder.</x:v>
      </x:c>
      <x:c r="K21" s="31" t="str">
        <x:v>#NorthstarCoffee #BrewBetter #CoffeeAtHome</x:v>
      </x:c>
      <x:c r="L21" s="34" t="str">
        <x:v>Planned</x:v>
      </x:c>
      <x:c r="M21" s="41"/>
      <x:c r="N21" s="41"/>
      <x:c r="O21" s="41"/>
      <x:c r="P21" s="41"/>
      <x:c r="Q21" s="41"/>
      <x:c r="R21" s="41"/>
      <x:c r="S21" s="41"/>
      <x:c r="T21" s="41"/>
      <x:c r="U21" s="40" t="str">
        <x:f>IF(M21=0,"",(N21+O21+P21+Q21)/M21)</x:f>
      </x:c>
      <x:c r="V21" s="40" t="str">
        <x:f>IF(M21=0,"",(P21+Q21)/M21)</x:f>
      </x:c>
    </x:row>
    <x:row r="22" ht="64" customHeight="1">
      <x:c r="A22" s="32" t="n">
        <x:v>5</x:v>
      </x:c>
      <x:c r="B22" s="39" t="d">
        <x:v>2026-11-05T00:00:00.000Z</x:v>
      </x:c>
      <x:c r="C22" s="31" t="str">
        <x:v>Product &amp; Community</x:v>
      </x:c>
      <x:c r="D22" s="31" t="str">
        <x:v>Photo</x:v>
      </x:c>
      <x:c r="E22" s="31" t="str">
        <x:v>Conversion</x:v>
      </x:c>
      <x:c r="F22" s="31" t="str">
        <x:v>Meet the subscription</x:v>
      </x:c>
      <x:c r="G22" s="31" t="str">
        <x:v>Good coffee, on your schedule.</x:v>
      </x:c>
      <x:c r="H22" s="31" t="str">
        <x:v>Bag, cup, delivery card in a home kitchen; show verified flexibility terms.</x:v>
      </x:c>
      <x:c r="I22" s="31" t="str">
        <x:v>Your favorite ritual, without the last-minute bean run. Choose a delivery rhythm that fits your kitchen and adjust it when life changes.</x:v>
      </x:c>
      <x:c r="J22" s="31" t="str">
        <x:v>See how subscriptions work.</x:v>
      </x:c>
      <x:c r="K22" s="31" t="str">
        <x:v>#NorthstarCoffee #BrewBetter #CoffeeAtHome</x:v>
      </x:c>
      <x:c r="L22" s="34" t="str">
        <x:v>Planned</x:v>
      </x:c>
      <x:c r="M22" s="41"/>
      <x:c r="N22" s="41"/>
      <x:c r="O22" s="41"/>
      <x:c r="P22" s="41"/>
      <x:c r="Q22" s="41"/>
      <x:c r="R22" s="41"/>
      <x:c r="S22" s="41"/>
      <x:c r="T22" s="41"/>
      <x:c r="U22" s="40" t="str">
        <x:f>IF(M22=0,"",(N22+O22+P22+Q22)/M22)</x:f>
      </x:c>
      <x:c r="V22" s="40" t="str">
        <x:f>IF(M22=0,"",(P22+Q22)/M22)</x:f>
      </x:c>
    </x:row>
    <x:row r="23" ht="64" customHeight="1">
      <x:c r="A23" s="32" t="n">
        <x:v>6</x:v>
      </x:c>
      <x:c r="B23" s="39" t="d">
        <x:v>2026-11-06T00:00:00.000Z</x:v>
      </x:c>
      <x:c r="C23" s="31" t="str">
        <x:v>Coffee Moments</x:v>
      </x:c>
      <x:c r="D23" s="31" t="str">
        <x:v>Stories</x:v>
      </x:c>
      <x:c r="E23" s="31" t="str">
        <x:v>Consideration</x:v>
      </x:c>
      <x:c r="F23" s="31" t="str">
        <x:v>Choose a brew guide</x:v>
      </x:c>
      <x:c r="G23" s="31" t="str">
        <x:v>Help us choose the next brew guide.</x:v>
      </x:c>
      <x:c r="H23" s="31" t="str">
        <x:v>Poll: French press, pour-over, espresso; question box for brewing frustrations.</x:v>
      </x:c>
      <x:c r="I23" s="31" t="str">
        <x:v>We’re making the next guide around your questions. Which method should we break down first?</x:v>
      </x:c>
      <x:c r="J23" s="31" t="str">
        <x:v>Tap a poll option.</x:v>
      </x:c>
      <x:c r="K23" s="31" t="str">
        <x:v>#NorthstarCoffee #BrewBetter #CoffeeAtHome</x:v>
      </x:c>
      <x:c r="L23" s="34" t="str">
        <x:v>Planned</x:v>
      </x:c>
      <x:c r="M23" s="41"/>
      <x:c r="N23" s="41"/>
      <x:c r="O23" s="41"/>
      <x:c r="P23" s="41"/>
      <x:c r="Q23" s="41"/>
      <x:c r="R23" s="41"/>
      <x:c r="S23" s="41"/>
      <x:c r="T23" s="41"/>
      <x:c r="U23" s="40" t="str">
        <x:f>IF(M23=0,"",(N23+O23+P23+Q23)/M23)</x:f>
      </x:c>
      <x:c r="V23" s="40" t="str">
        <x:f>IF(M23=0,"",(P23+Q23)/M23)</x:f>
      </x:c>
    </x:row>
    <x:row r="24" ht="64" customHeight="1">
      <x:c r="A24" s="32" t="n">
        <x:v>7</x:v>
      </x:c>
      <x:c r="B24" s="39" t="d">
        <x:v>2026-11-07T00:00:00.000Z</x:v>
      </x:c>
      <x:c r="C24" s="31" t="str">
        <x:v>Brew Better</x:v>
      </x:c>
      <x:c r="D24" s="31" t="str">
        <x:v>Carousel</x:v>
      </x:c>
      <x:c r="E24" s="31" t="str">
        <x:v>Awareness</x:v>
      </x:c>
      <x:c r="F24" s="31" t="str">
        <x:v>Coffee-to-water ratio</x:v>
      </x:c>
      <x:c r="G24" s="31" t="str">
        <x:v>A simple starting ratio for a balanced cup.</x:v>
      </x:c>
      <x:c r="H24" s="31" t="str">
        <x:v>Cards: 1:16 starting ratio, 20g coffee/320g water, taste-adjust, weigh reminder.</x:v>
      </x:c>
      <x:c r="I24" s="31" t="str">
        <x:v>Try 1 gram of coffee for every 16 grams of water as a starting point. Your taste gets the final say—adjust stronger or lighter.</x:v>
      </x:c>
      <x:c r="J24" s="31" t="str">
        <x:v>Save the ratio card.</x:v>
      </x:c>
      <x:c r="K24" s="31" t="str">
        <x:v>#NorthstarCoffee #BrewBetter #CoffeeAtHome</x:v>
      </x:c>
      <x:c r="L24" s="34" t="str">
        <x:v>Planned</x:v>
      </x:c>
      <x:c r="M24" s="41"/>
      <x:c r="N24" s="41"/>
      <x:c r="O24" s="41"/>
      <x:c r="P24" s="41"/>
      <x:c r="Q24" s="41"/>
      <x:c r="R24" s="41"/>
      <x:c r="S24" s="41"/>
      <x:c r="T24" s="41"/>
      <x:c r="U24" s="40" t="str">
        <x:f>IF(M24=0,"",(N24+O24+P24+Q24)/M24)</x:f>
      </x:c>
      <x:c r="V24" s="40" t="str">
        <x:f>IF(M24=0,"",(P24+Q24)/M24)</x:f>
      </x:c>
    </x:row>
    <x:row r="25" ht="64" customHeight="1">
      <x:c r="A25" s="32" t="n">
        <x:v>8</x:v>
      </x:c>
      <x:c r="B25" s="39" t="d">
        <x:v>2026-11-08T00:00:00.000Z</x:v>
      </x:c>
      <x:c r="C25" s="31" t="str">
        <x:v>Origin &amp; Craft</x:v>
      </x:c>
      <x:c r="D25" s="31" t="str">
        <x:v>Reel</x:v>
      </x:c>
      <x:c r="E25" s="31" t="str">
        <x:v>Awareness</x:v>
      </x:c>
      <x:c r="F25" s="31" t="str">
        <x:v>Green bean to roast</x:v>
      </x:c>
      <x:c r="G25" s="31" t="str">
        <x:v>Before the aroma, there’s careful craft.</x:v>
      </x:c>
      <x:c r="H25" s="31" t="str">
        <x:v>Roast-day clips; use real footage and label each stage.</x:v>
      </x:c>
      <x:c r="I25" s="31" t="str">
        <x:v>Roasting is a series of small decisions that shape sweetness, body, and aroma. Here’s a glimpse of the craft behind the cup.</x:v>
      </x:c>
      <x:c r="J25" s="31" t="str">
        <x:v>Follow for more behind the roast.</x:v>
      </x:c>
      <x:c r="K25" s="31" t="str">
        <x:v>#NorthstarCoffee #BrewBetter #CoffeeAtHome</x:v>
      </x:c>
      <x:c r="L25" s="34" t="str">
        <x:v>Planned</x:v>
      </x:c>
      <x:c r="M25" s="41"/>
      <x:c r="N25" s="41"/>
      <x:c r="O25" s="41"/>
      <x:c r="P25" s="41"/>
      <x:c r="Q25" s="41"/>
      <x:c r="R25" s="41"/>
      <x:c r="S25" s="41"/>
      <x:c r="T25" s="41"/>
      <x:c r="U25" s="40" t="str">
        <x:f>IF(M25=0,"",(N25+O25+P25+Q25)/M25)</x:f>
      </x:c>
      <x:c r="V25" s="40" t="str">
        <x:f>IF(M25=0,"",(P25+Q25)/M25)</x:f>
      </x:c>
    </x:row>
    <x:row r="26" ht="64" customHeight="1">
      <x:c r="A26" s="32" t="n">
        <x:v>9</x:v>
      </x:c>
      <x:c r="B26" s="39" t="d">
        <x:v>2026-11-09T00:00:00.000Z</x:v>
      </x:c>
      <x:c r="C26" s="31" t="str">
        <x:v>Coffee Moments</x:v>
      </x:c>
      <x:c r="D26" s="31" t="str">
        <x:v>Stories</x:v>
      </x:c>
      <x:c r="E26" s="31" t="str">
        <x:v>Awareness</x:v>
      </x:c>
      <x:c r="F26" s="31" t="str">
        <x:v>Coffee soundtrack</x:v>
      </x:c>
      <x:c r="G26" s="31" t="str">
        <x:v>What’s playing while the kettle heats?</x:v>
      </x:c>
      <x:c r="H26" s="31" t="str">
        <x:v>Music sticker and slider; use cleared/licensed audio for brand creative.</x:v>
      </x:c>
      <x:c r="I26" s="31" t="str">
        <x:v>Set the soundtrack for your next coffee break. What are you listening to today?</x:v>
      </x:c>
      <x:c r="J26" s="31" t="str">
        <x:v>Share a song.</x:v>
      </x:c>
      <x:c r="K26" s="31" t="str">
        <x:v>#NorthstarCoffee #BrewBetter #CoffeeAtHome</x:v>
      </x:c>
      <x:c r="L26" s="34" t="str">
        <x:v>Planned</x:v>
      </x:c>
      <x:c r="M26" s="41"/>
      <x:c r="N26" s="41"/>
      <x:c r="O26" s="41"/>
      <x:c r="P26" s="41"/>
      <x:c r="Q26" s="41"/>
      <x:c r="R26" s="41"/>
      <x:c r="S26" s="41"/>
      <x:c r="T26" s="41"/>
      <x:c r="U26" s="40" t="str">
        <x:f>IF(M26=0,"",(N26+O26+P26+Q26)/M26)</x:f>
      </x:c>
      <x:c r="V26" s="40" t="str">
        <x:f>IF(M26=0,"",(P26+Q26)/M26)</x:f>
      </x:c>
    </x:row>
    <x:row r="27" ht="64" customHeight="1">
      <x:c r="A27" s="32" t="n">
        <x:v>10</x:v>
      </x:c>
      <x:c r="B27" s="39" t="d">
        <x:v>2026-11-10T00:00:00.000Z</x:v>
      </x:c>
      <x:c r="C27" s="31" t="str">
        <x:v>Brew Better</x:v>
      </x:c>
      <x:c r="D27" s="31" t="str">
        <x:v>Reel</x:v>
      </x:c>
      <x:c r="E27" s="31" t="str">
        <x:v>Consideration</x:v>
      </x:c>
      <x:c r="F27" s="31" t="str">
        <x:v>Espresso timing</x:v>
      </x:c>
      <x:c r="G27" s="31" t="str">
        <x:v>A timer helps repeat what tastes good.</x:v>
      </x:c>
      <x:c r="H27" s="31" t="str">
        <x:v>Show scale and timer; yield and taste matter more than one universal time.</x:v>
      </x:c>
      <x:c r="I27" s="31" t="str">
        <x:v>Timing is a useful clue, not a magic number. Track dose, yield, and time together—then adjust for the flavor you want.</x:v>
      </x:c>
      <x:c r="J27" s="31" t="str">
        <x:v>Save this dial-in tip.</x:v>
      </x:c>
      <x:c r="K27" s="31" t="str">
        <x:v>#NorthstarCoffee #BrewBetter #CoffeeAtHome</x:v>
      </x:c>
      <x:c r="L27" s="34" t="str">
        <x:v>Planned</x:v>
      </x:c>
      <x:c r="M27" s="41"/>
      <x:c r="N27" s="41"/>
      <x:c r="O27" s="41"/>
      <x:c r="P27" s="41"/>
      <x:c r="Q27" s="41"/>
      <x:c r="R27" s="41"/>
      <x:c r="S27" s="41"/>
      <x:c r="T27" s="41"/>
      <x:c r="U27" s="40" t="str">
        <x:f>IF(M27=0,"",(N27+O27+P27+Q27)/M27)</x:f>
      </x:c>
      <x:c r="V27" s="40" t="str">
        <x:f>IF(M27=0,"",(P27+Q27)/M27)</x:f>
      </x:c>
    </x:row>
    <x:row r="28" ht="64" customHeight="1">
      <x:c r="A28" s="32" t="n">
        <x:v>11</x:v>
      </x:c>
      <x:c r="B28" s="39" t="d">
        <x:v>2026-11-11T00:00:00.000Z</x:v>
      </x:c>
      <x:c r="C28" s="31" t="str">
        <x:v>Product &amp; Community</x:v>
      </x:c>
      <x:c r="D28" s="31" t="str">
        <x:v>Carousel</x:v>
      </x:c>
      <x:c r="E28" s="31" t="str">
        <x:v>Conversion</x:v>
      </x:c>
      <x:c r="F28" s="31" t="str">
        <x:v>Subscription benefits</x:v>
      </x:c>
      <x:c r="G28" s="31" t="str">
        <x:v>Your coffee routine, with room to change.</x:v>
      </x:c>
      <x:c r="H28" s="31" t="str">
        <x:v>Cards: flexible schedule, discovery, pause/change, shipping; verify current terms.</x:v>
      </x:c>
      <x:c r="I28" s="31" t="str">
        <x:v>A good subscription should fit real life. Discover rotating coffees and adjust your delivery when your routine changes. Check plan details before choosing.</x:v>
      </x:c>
      <x:c r="J28" s="31" t="str">
        <x:v>Explore subscription options.</x:v>
      </x:c>
      <x:c r="K28" s="31" t="str">
        <x:v>#NorthstarCoffee #BrewBetter #CoffeeAtHome</x:v>
      </x:c>
      <x:c r="L28" s="34" t="str">
        <x:v>Planned</x:v>
      </x:c>
      <x:c r="M28" s="41"/>
      <x:c r="N28" s="41"/>
      <x:c r="O28" s="41"/>
      <x:c r="P28" s="41"/>
      <x:c r="Q28" s="41"/>
      <x:c r="R28" s="41"/>
      <x:c r="S28" s="41"/>
      <x:c r="T28" s="41"/>
      <x:c r="U28" s="40" t="str">
        <x:f>IF(M28=0,"",(N28+O28+P28+Q28)/M28)</x:f>
      </x:c>
      <x:c r="V28" s="40" t="str">
        <x:f>IF(M28=0,"",(P28+Q28)/M28)</x:f>
      </x:c>
    </x:row>
    <x:row r="29" ht="64" customHeight="1">
      <x:c r="A29" s="32" t="n">
        <x:v>12</x:v>
      </x:c>
      <x:c r="B29" s="39" t="d">
        <x:v>2026-11-12T00:00:00.000Z</x:v>
      </x:c>
      <x:c r="C29" s="31" t="str">
        <x:v>Coffee Moments</x:v>
      </x:c>
      <x:c r="D29" s="31" t="str">
        <x:v>Stories</x:v>
      </x:c>
      <x:c r="E29" s="31" t="str">
        <x:v>Consideration</x:v>
      </x:c>
      <x:c r="F29" s="31" t="str">
        <x:v>Flavor preference poll</x:v>
      </x:c>
      <x:c r="G29" s="31" t="str">
        <x:v>Chocolatey or fruit-forward?</x:v>
      </x:c>
      <x:c r="H29" s="31" t="str">
        <x:v>Two-frame poll with tasting descriptors and relevant product links.</x:v>
      </x:c>
      <x:c r="I29" s="31" t="str">
        <x:v>Tell us what you reach for: deep cocoa notes or bright fruit-like flavors?</x:v>
      </x:c>
      <x:c r="J29" s="31" t="str">
        <x:v>Vote and explore matches.</x:v>
      </x:c>
      <x:c r="K29" s="31" t="str">
        <x:v>#NorthstarCoffee #BrewBetter #CoffeeAtHome</x:v>
      </x:c>
      <x:c r="L29" s="34" t="str">
        <x:v>Planned</x:v>
      </x:c>
      <x:c r="M29" s="41"/>
      <x:c r="N29" s="41"/>
      <x:c r="O29" s="41"/>
      <x:c r="P29" s="41"/>
      <x:c r="Q29" s="41"/>
      <x:c r="R29" s="41"/>
      <x:c r="S29" s="41"/>
      <x:c r="T29" s="41"/>
      <x:c r="U29" s="40" t="str">
        <x:f>IF(M29=0,"",(N29+O29+P29+Q29)/M29)</x:f>
      </x:c>
      <x:c r="V29" s="40" t="str">
        <x:f>IF(M29=0,"",(P29+Q29)/M29)</x:f>
      </x:c>
    </x:row>
    <x:row r="30" ht="64" customHeight="1">
      <x:c r="A30" s="32" t="n">
        <x:v>13</x:v>
      </x:c>
      <x:c r="B30" s="39" t="d">
        <x:v>2026-11-13T00:00:00.000Z</x:v>
      </x:c>
      <x:c r="C30" s="31" t="str">
        <x:v>Origin &amp; Craft</x:v>
      </x:c>
      <x:c r="D30" s="31" t="str">
        <x:v>Photo</x:v>
      </x:c>
      <x:c r="E30" s="31" t="str">
        <x:v>Awareness</x:v>
      </x:c>
      <x:c r="F30" s="31" t="str">
        <x:v>Meet the producer</x:v>
      </x:c>
      <x:c r="G30" s="31" t="str">
        <x:v>Great coffee starts with relationships.</x:v>
      </x:c>
      <x:c r="H30" s="31" t="str">
        <x:v>Portrait or farm detail only with permission and accurate name/location.</x:v>
      </x:c>
      <x:c r="I30" s="31" t="str">
        <x:v>Every harvest carries the work of people and place. We value the producer relationships behind each coffee and the care that brings it to your cup.</x:v>
      </x:c>
      <x:c r="J30" s="31" t="str">
        <x:v>Read the sourcing story.</x:v>
      </x:c>
      <x:c r="K30" s="31" t="str">
        <x:v>#NorthstarCoffee #BrewBetter #CoffeeAtHome</x:v>
      </x:c>
      <x:c r="L30" s="34" t="str">
        <x:v>Planned</x:v>
      </x:c>
      <x:c r="M30" s="41"/>
      <x:c r="N30" s="41"/>
      <x:c r="O30" s="41"/>
      <x:c r="P30" s="41"/>
      <x:c r="Q30" s="41"/>
      <x:c r="R30" s="41"/>
      <x:c r="S30" s="41"/>
      <x:c r="T30" s="41"/>
      <x:c r="U30" s="40" t="str">
        <x:f>IF(M30=0,"",(N30+O30+P30+Q30)/M30)</x:f>
      </x:c>
      <x:c r="V30" s="40" t="str">
        <x:f>IF(M30=0,"",(P30+Q30)/M30)</x:f>
      </x:c>
    </x:row>
    <x:row r="31" ht="64" customHeight="1">
      <x:c r="A31" s="32" t="n">
        <x:v>14</x:v>
      </x:c>
      <x:c r="B31" s="39" t="d">
        <x:v>2026-11-14T00:00:00.000Z</x:v>
      </x:c>
      <x:c r="C31" s="31" t="str">
        <x:v>Brew Better</x:v>
      </x:c>
      <x:c r="D31" s="31" t="str">
        <x:v>Carousel</x:v>
      </x:c>
      <x:c r="E31" s="31" t="str">
        <x:v>Awareness</x:v>
      </x:c>
      <x:c r="F31" s="31" t="str">
        <x:v>Store beans well</x:v>
      </x:c>
      <x:c r="G31" s="31" t="str">
        <x:v>Keep beans away from heat, light, and air.</x:v>
      </x:c>
      <x:c r="H31" s="31" t="str">
        <x:v>Pantry checklist; include resealing and roast-date context.</x:v>
      </x:c>
      <x:c r="I31" s="31" t="str">
        <x:v>A cool, dry cupboard and a well-sealed bag are a good start. Skip the fridge: moisture and odors can get in the way of a clean cup.</x:v>
      </x:c>
      <x:c r="J31" s="31" t="str">
        <x:v>Save this checklist.</x:v>
      </x:c>
      <x:c r="K31" s="31" t="str">
        <x:v>#NorthstarCoffee #BrewBetter #CoffeeAtHome</x:v>
      </x:c>
      <x:c r="L31" s="34" t="str">
        <x:v>Planned</x:v>
      </x:c>
      <x:c r="M31" s="41"/>
      <x:c r="N31" s="41"/>
      <x:c r="O31" s="41"/>
      <x:c r="P31" s="41"/>
      <x:c r="Q31" s="41"/>
      <x:c r="R31" s="41"/>
      <x:c r="S31" s="41"/>
      <x:c r="T31" s="41"/>
      <x:c r="U31" s="40" t="str">
        <x:f>IF(M31=0,"",(N31+O31+P31+Q31)/M31)</x:f>
      </x:c>
      <x:c r="V31" s="40" t="str">
        <x:f>IF(M31=0,"",(P31+Q31)/M31)</x:f>
      </x:c>
    </x:row>
    <x:row r="32" ht="64" customHeight="1">
      <x:c r="A32" s="32" t="n">
        <x:v>15</x:v>
      </x:c>
      <x:c r="B32" s="39" t="d">
        <x:v>2026-11-15T00:00:00.000Z</x:v>
      </x:c>
      <x:c r="C32" s="31" t="str">
        <x:v>Product &amp; Community</x:v>
      </x:c>
      <x:c r="D32" s="31" t="str">
        <x:v>Reel</x:v>
      </x:c>
      <x:c r="E32" s="31" t="str">
        <x:v>Conversion</x:v>
      </x:c>
      <x:c r="F32" s="31" t="str">
        <x:v>Seasonal coffee unboxing</x:v>
      </x:c>
      <x:c r="G32" s="31" t="str">
        <x:v>A new bag, a fresh little ritual.</x:v>
      </x:c>
      <x:c r="H32" s="31" t="str">
        <x:v>Unbox a currently available coffee; show verified tasting notes.</x:v>
      </x:c>
      <x:c r="I32" s="31" t="str">
        <x:v>Meet a coffee for your next slow morning. Look for tasting notes that sound good, then brew it your way.</x:v>
      </x:c>
      <x:c r="J32" s="31" t="str">
        <x:v>Shop the seasonal selection.</x:v>
      </x:c>
      <x:c r="K32" s="31" t="str">
        <x:v>#NorthstarCoffee #BrewBetter #CoffeeAtHome</x:v>
      </x:c>
      <x:c r="L32" s="34" t="str">
        <x:v>Planned</x:v>
      </x:c>
      <x:c r="M32" s="41"/>
      <x:c r="N32" s="41"/>
      <x:c r="O32" s="41"/>
      <x:c r="P32" s="41"/>
      <x:c r="Q32" s="41"/>
      <x:c r="R32" s="41"/>
      <x:c r="S32" s="41"/>
      <x:c r="T32" s="41"/>
      <x:c r="U32" s="40" t="str">
        <x:f>IF(M32=0,"",(N32+O32+P32+Q32)/M32)</x:f>
      </x:c>
      <x:c r="V32" s="40" t="str">
        <x:f>IF(M32=0,"",(P32+Q32)/M32)</x:f>
      </x:c>
    </x:row>
    <x:row r="33" ht="64" customHeight="1">
      <x:c r="A33" s="32" t="n">
        <x:v>16</x:v>
      </x:c>
      <x:c r="B33" s="39" t="d">
        <x:v>2026-11-16T00:00:00.000Z</x:v>
      </x:c>
      <x:c r="C33" s="31" t="str">
        <x:v>Coffee Moments</x:v>
      </x:c>
      <x:c r="D33" s="31" t="str">
        <x:v>Stories</x:v>
      </x:c>
      <x:c r="E33" s="31" t="str">
        <x:v>Awareness</x:v>
      </x:c>
      <x:c r="F33" s="31" t="str">
        <x:v>Mid-month check-in</x:v>
      </x:c>
      <x:c r="G33" s="31" t="str">
        <x:v>How is your coffee routine feeling?</x:v>
      </x:c>
      <x:c r="H33" s="31" t="str">
        <x:v>Question box and slider; reshare answers only with permission.</x:v>
      </x:c>
      <x:c r="I33" s="31" t="str">
        <x:v>We’re halfway through the month. What’s one thing you’d change about your daily cup?</x:v>
      </x:c>
      <x:c r="J33" s="31" t="str">
        <x:v>Drop a question or tip.</x:v>
      </x:c>
      <x:c r="K33" s="31" t="str">
        <x:v>#NorthstarCoffee #BrewBetter #CoffeeAtHome</x:v>
      </x:c>
      <x:c r="L33" s="34" t="str">
        <x:v>Planned</x:v>
      </x:c>
      <x:c r="M33" s="41"/>
      <x:c r="N33" s="41"/>
      <x:c r="O33" s="41"/>
      <x:c r="P33" s="41"/>
      <x:c r="Q33" s="41"/>
      <x:c r="R33" s="41"/>
      <x:c r="S33" s="41"/>
      <x:c r="T33" s="41"/>
      <x:c r="U33" s="40" t="str">
        <x:f>IF(M33=0,"",(N33+O33+P33+Q33)/M33)</x:f>
      </x:c>
      <x:c r="V33" s="40" t="str">
        <x:f>IF(M33=0,"",(P33+Q33)/M33)</x:f>
      </x:c>
    </x:row>
    <x:row r="34" ht="64" customHeight="1">
      <x:c r="A34" s="32" t="n">
        <x:v>17</x:v>
      </x:c>
      <x:c r="B34" s="39" t="d">
        <x:v>2026-11-17T00:00:00.000Z</x:v>
      </x:c>
      <x:c r="C34" s="31" t="str">
        <x:v>Brew Better</x:v>
      </x:c>
      <x:c r="D34" s="31" t="str">
        <x:v>Reel</x:v>
      </x:c>
      <x:c r="E34" s="31" t="str">
        <x:v>Awareness</x:v>
      </x:c>
      <x:c r="F34" s="31" t="str">
        <x:v>French press technique</x:v>
      </x:c>
      <x:c r="G34" s="31" t="str">
        <x:v>Pressing too soon can leave a muddy cup.</x:v>
      </x:c>
      <x:c r="H34" s="31" t="str">
        <x:v>Show gentle stir, wait, slow plunge; label as a technique to test.</x:v>
      </x:c>
      <x:c r="I34" s="31" t="str">
        <x:v>Try a gentle plunge after your brew has had time to settle. Pour soon after pressing for a clearer cup.</x:v>
      </x:c>
      <x:c r="J34" s="31" t="str">
        <x:v>Try it and share what changed.</x:v>
      </x:c>
      <x:c r="K34" s="31" t="str">
        <x:v>#NorthstarCoffee #BrewBetter #CoffeeAtHome</x:v>
      </x:c>
      <x:c r="L34" s="34" t="str">
        <x:v>Planned</x:v>
      </x:c>
      <x:c r="M34" s="41"/>
      <x:c r="N34" s="41"/>
      <x:c r="O34" s="41"/>
      <x:c r="P34" s="41"/>
      <x:c r="Q34" s="41"/>
      <x:c r="R34" s="41"/>
      <x:c r="S34" s="41"/>
      <x:c r="T34" s="41"/>
      <x:c r="U34" s="40" t="str">
        <x:f>IF(M34=0,"",(N34+O34+P34+Q34)/M34)</x:f>
      </x:c>
      <x:c r="V34" s="40" t="str">
        <x:f>IF(M34=0,"",(P34+Q34)/M34)</x:f>
      </x:c>
    </x:row>
    <x:row r="35" ht="64" customHeight="1">
      <x:c r="A35" s="32" t="n">
        <x:v>18</x:v>
      </x:c>
      <x:c r="B35" s="39" t="d">
        <x:v>2026-11-18T00:00:00.000Z</x:v>
      </x:c>
      <x:c r="C35" s="31" t="str">
        <x:v>Origin &amp; Craft</x:v>
      </x:c>
      <x:c r="D35" s="31" t="str">
        <x:v>Carousel</x:v>
      </x:c>
      <x:c r="E35" s="31" t="str">
        <x:v>Consideration</x:v>
      </x:c>
      <x:c r="F35" s="31" t="str">
        <x:v>Washed vs natural process</x:v>
      </x:c>
      <x:c r="G35" s="31" t="str">
        <x:v>Two processes, two expressions.</x:v>
      </x:c>
      <x:c r="H35" s="31" t="str">
        <x:v>Side-by-side explainer; note that profiles vary by lot.</x:v>
      </x:c>
      <x:c r="I35" s="31" t="str">
        <x:v>Processing can influence the cup, but every lot is its own story. Explore how washed and natural methods differ from cherry to green coffee.</x:v>
      </x:c>
      <x:c r="J35" s="31" t="str">
        <x:v>Save this tasting guide.</x:v>
      </x:c>
      <x:c r="K35" s="31" t="str">
        <x:v>#NorthstarCoffee #BrewBetter #CoffeeAtHome</x:v>
      </x:c>
      <x:c r="L35" s="34" t="str">
        <x:v>Planned</x:v>
      </x:c>
      <x:c r="M35" s="41"/>
      <x:c r="N35" s="41"/>
      <x:c r="O35" s="41"/>
      <x:c r="P35" s="41"/>
      <x:c r="Q35" s="41"/>
      <x:c r="R35" s="41"/>
      <x:c r="S35" s="41"/>
      <x:c r="T35" s="41"/>
      <x:c r="U35" s="40" t="str">
        <x:f>IF(M35=0,"",(N35+O35+P35+Q35)/M35)</x:f>
      </x:c>
      <x:c r="V35" s="40" t="str">
        <x:f>IF(M35=0,"",(P35+Q35)/M35)</x:f>
      </x:c>
    </x:row>
    <x:row r="36" ht="64" customHeight="1">
      <x:c r="A36" s="32" t="n">
        <x:v>19</x:v>
      </x:c>
      <x:c r="B36" s="39" t="d">
        <x:v>2026-11-19T00:00:00.000Z</x:v>
      </x:c>
      <x:c r="C36" s="31" t="str">
        <x:v>Coffee Moments</x:v>
      </x:c>
      <x:c r="D36" s="31" t="str">
        <x:v>Stories</x:v>
      </x:c>
      <x:c r="E36" s="31" t="str">
        <x:v>Awareness</x:v>
      </x:c>
      <x:c r="F36" s="31" t="str">
        <x:v>Guess the tasting note</x:v>
      </x:c>
      <x:c r="G36" s="31" t="str">
        <x:v>Can you guess the note from the close-up?</x:v>
      </x:c>
      <x:c r="H36" s="31" t="str">
        <x:v>Macro ingredient clues; reveal a real product note next frame.</x:v>
      </x:c>
      <x:c r="I36" s="31" t="str">
        <x:v>A little tasting-note game for your break. What flavor comes to mind?</x:v>
      </x:c>
      <x:c r="J36" s="31" t="str">
        <x:v>Reply with your guess.</x:v>
      </x:c>
      <x:c r="K36" s="31" t="str">
        <x:v>#NorthstarCoffee #BrewBetter #CoffeeAtHome</x:v>
      </x:c>
      <x:c r="L36" s="34" t="str">
        <x:v>Planned</x:v>
      </x:c>
      <x:c r="M36" s="41"/>
      <x:c r="N36" s="41"/>
      <x:c r="O36" s="41"/>
      <x:c r="P36" s="41"/>
      <x:c r="Q36" s="41"/>
      <x:c r="R36" s="41"/>
      <x:c r="S36" s="41"/>
      <x:c r="T36" s="41"/>
      <x:c r="U36" s="40" t="str">
        <x:f>IF(M36=0,"",(N36+O36+P36+Q36)/M36)</x:f>
      </x:c>
      <x:c r="V36" s="40" t="str">
        <x:f>IF(M36=0,"",(P36+Q36)/M36)</x:f>
      </x:c>
    </x:row>
    <x:row r="37" ht="64" customHeight="1">
      <x:c r="A37" s="32" t="n">
        <x:v>20</x:v>
      </x:c>
      <x:c r="B37" s="39" t="d">
        <x:v>2026-11-20T00:00:00.000Z</x:v>
      </x:c>
      <x:c r="C37" s="31" t="str">
        <x:v>Product &amp; Community</x:v>
      </x:c>
      <x:c r="D37" s="31" t="str">
        <x:v>Photo</x:v>
      </x:c>
      <x:c r="E37" s="31" t="str">
        <x:v>Consideration</x:v>
      </x:c>
      <x:c r="F37" s="31" t="str">
        <x:v>Build a brew kit</x:v>
      </x:c>
      <x:c r="G37" s="31" t="str">
        <x:v>A few thoughtful tools are enough.</x:v>
      </x:c>
      <x:c r="H37" s="31" t="str">
        <x:v>Show available gear; distinguish essentials from nice-to-haves.</x:v>
      </x:c>
      <x:c r="I37" s="31" t="str">
        <x:v>You don’t need a shelf full of gear. Start with a brewer you enjoy, a grinder if it suits your method, and a scale for repeatable recipes.</x:v>
      </x:c>
      <x:c r="J37" s="31" t="str">
        <x:v>See our brew tools.</x:v>
      </x:c>
      <x:c r="K37" s="31" t="str">
        <x:v>#NorthstarCoffee #BrewBetter #CoffeeAtHome</x:v>
      </x:c>
      <x:c r="L37" s="34" t="str">
        <x:v>Planned</x:v>
      </x:c>
      <x:c r="M37" s="41"/>
      <x:c r="N37" s="41"/>
      <x:c r="O37" s="41"/>
      <x:c r="P37" s="41"/>
      <x:c r="Q37" s="41"/>
      <x:c r="R37" s="41"/>
      <x:c r="S37" s="41"/>
      <x:c r="T37" s="41"/>
      <x:c r="U37" s="40" t="str">
        <x:f>IF(M37=0,"",(N37+O37+P37+Q37)/M37)</x:f>
      </x:c>
      <x:c r="V37" s="40" t="str">
        <x:f>IF(M37=0,"",(P37+Q37)/M37)</x:f>
      </x:c>
    </x:row>
    <x:row r="38" ht="64" customHeight="1">
      <x:c r="A38" s="32" t="n">
        <x:v>21</x:v>
      </x:c>
      <x:c r="B38" s="39" t="d">
        <x:v>2026-11-21T00:00:00.000Z</x:v>
      </x:c>
      <x:c r="C38" s="31" t="str">
        <x:v>Brew Better</x:v>
      </x:c>
      <x:c r="D38" s="31" t="str">
        <x:v>Carousel</x:v>
      </x:c>
      <x:c r="E38" s="31" t="str">
        <x:v>Awareness</x:v>
      </x:c>
      <x:c r="F38" s="31" t="str">
        <x:v>Cold brew at home</x:v>
      </x:c>
      <x:c r="G38" s="31" t="str">
        <x:v>An overnight batch for tomorrow’s glass.</x:v>
      </x:c>
      <x:c r="H38" s="31" t="str">
        <x:v>Recipe card; verify steep guidance for chosen coffee and grind.</x:v>
      </x:c>
      <x:c r="I38" s="31" t="str">
        <x:v>Combine coarse coffee and cool water, steep in the fridge, then strain. Start with your preferred strength and dilute to taste.</x:v>
      </x:c>
      <x:c r="J38" s="31" t="str">
        <x:v>Save tonight’s recipe.</x:v>
      </x:c>
      <x:c r="K38" s="31" t="str">
        <x:v>#NorthstarCoffee #BrewBetter #CoffeeAtHome</x:v>
      </x:c>
      <x:c r="L38" s="34" t="str">
        <x:v>Planned</x:v>
      </x:c>
      <x:c r="M38" s="41"/>
      <x:c r="N38" s="41"/>
      <x:c r="O38" s="41"/>
      <x:c r="P38" s="41"/>
      <x:c r="Q38" s="41"/>
      <x:c r="R38" s="41"/>
      <x:c r="S38" s="41"/>
      <x:c r="T38" s="41"/>
      <x:c r="U38" s="40" t="str">
        <x:f>IF(M38=0,"",(N38+O38+P38+Q38)/M38)</x:f>
      </x:c>
      <x:c r="V38" s="40" t="str">
        <x:f>IF(M38=0,"",(P38+Q38)/M38)</x:f>
      </x:c>
    </x:row>
    <x:row r="39" ht="64" customHeight="1">
      <x:c r="A39" s="32" t="n">
        <x:v>22</x:v>
      </x:c>
      <x:c r="B39" s="39" t="d">
        <x:v>2026-11-22T00:00:00.000Z</x:v>
      </x:c>
      <x:c r="C39" s="31" t="str">
        <x:v>Coffee Moments</x:v>
      </x:c>
      <x:c r="D39" s="31" t="str">
        <x:v>Stories</x:v>
      </x:c>
      <x:c r="E39" s="31" t="str">
        <x:v>Consideration</x:v>
      </x:c>
      <x:c r="F39" s="31" t="str">
        <x:v>Ask a barista</x:v>
      </x:c>
      <x:c r="G39" s="31" t="str">
        <x:v>What would you ask a barista about coffee?</x:v>
      </x:c>
      <x:c r="H39" s="31" t="str">
        <x:v>Question sticker; answer using confirmed information.</x:v>
      </x:c>
      <x:c r="I39" s="31" t="str">
        <x:v>No coffee question is too small. Leave one and our team can pick a few to answer.</x:v>
      </x:c>
      <x:c r="J39" s="31" t="str">
        <x:v>Send your question.</x:v>
      </x:c>
      <x:c r="K39" s="31" t="str">
        <x:v>#NorthstarCoffee #BrewBetter #CoffeeAtHome</x:v>
      </x:c>
      <x:c r="L39" s="34" t="str">
        <x:v>Planned</x:v>
      </x:c>
      <x:c r="M39" s="41"/>
      <x:c r="N39" s="41"/>
      <x:c r="O39" s="41"/>
      <x:c r="P39" s="41"/>
      <x:c r="Q39" s="41"/>
      <x:c r="R39" s="41"/>
      <x:c r="S39" s="41"/>
      <x:c r="T39" s="41"/>
      <x:c r="U39" s="40" t="str">
        <x:f>IF(M39=0,"",(N39+O39+P39+Q39)/M39)</x:f>
      </x:c>
      <x:c r="V39" s="40" t="str">
        <x:f>IF(M39=0,"",(P39+Q39)/M39)</x:f>
      </x:c>
    </x:row>
    <x:row r="40" ht="64" customHeight="1">
      <x:c r="A40" s="32" t="n">
        <x:v>23</x:v>
      </x:c>
      <x:c r="B40" s="39" t="d">
        <x:v>2026-11-23T00:00:00.000Z</x:v>
      </x:c>
      <x:c r="C40" s="31" t="str">
        <x:v>Origin &amp; Craft</x:v>
      </x:c>
      <x:c r="D40" s="31" t="str">
        <x:v>Reel</x:v>
      </x:c>
      <x:c r="E40" s="31" t="str">
        <x:v>Awareness</x:v>
      </x:c>
      <x:c r="F40" s="31" t="str">
        <x:v>Coffee freshness</x:v>
      </x:c>
      <x:c r="G40" s="31" t="str">
        <x:v>Freshness is more than a date on the bag.</x:v>
      </x:c>
      <x:c r="H40" s="31" t="str">
        <x:v>Show sealed bag and valve; avoid unsupported shelf-life claims.</x:v>
      </x:c>
      <x:c r="I40" s="31" t="str">
        <x:v>Coffee releases gas after roasting. Packaging helps protect aroma; once opened, reseal it well and enjoy it at your own pace.</x:v>
      </x:c>
      <x:c r="J40" s="31" t="str">
        <x:v>Share with a coffee friend.</x:v>
      </x:c>
      <x:c r="K40" s="31" t="str">
        <x:v>#NorthstarCoffee #BrewBetter #CoffeeAtHome</x:v>
      </x:c>
      <x:c r="L40" s="34" t="str">
        <x:v>Planned</x:v>
      </x:c>
      <x:c r="M40" s="41"/>
      <x:c r="N40" s="41"/>
      <x:c r="O40" s="41"/>
      <x:c r="P40" s="41"/>
      <x:c r="Q40" s="41"/>
      <x:c r="R40" s="41"/>
      <x:c r="S40" s="41"/>
      <x:c r="T40" s="41"/>
      <x:c r="U40" s="40" t="str">
        <x:f>IF(M40=0,"",(N40+O40+P40+Q40)/M40)</x:f>
      </x:c>
      <x:c r="V40" s="40" t="str">
        <x:f>IF(M40=0,"",(P40+Q40)/M40)</x:f>
      </x:c>
    </x:row>
    <x:row r="41" ht="64" customHeight="1">
      <x:c r="A41" s="32" t="n">
        <x:v>24</x:v>
      </x:c>
      <x:c r="B41" s="39" t="d">
        <x:v>2026-11-24T00:00:00.000Z</x:v>
      </x:c>
      <x:c r="C41" s="31" t="str">
        <x:v>Brew Better</x:v>
      </x:c>
      <x:c r="D41" s="31" t="str">
        <x:v>Carousel</x:v>
      </x:c>
      <x:c r="E41" s="31" t="str">
        <x:v>Consideration</x:v>
      </x:c>
      <x:c r="F41" s="31" t="str">
        <x:v>Troubleshoot sour coffee</x:v>
      </x:c>
      <x:c r="G41" s="31" t="str">
        <x:v>A sour cup? Change one thing at a time.</x:v>
      </x:c>
      <x:c r="H41" s="31" t="str">
        <x:v>Flow: grind finer, hotter water, longer contact; recipes and beans vary.</x:v>
      </x:c>
      <x:c r="I41" s="31" t="str">
        <x:v>If your cup tastes sharper than you like, try grinding a little finer or extending contact time. Change one thing, taste, and take notes.</x:v>
      </x:c>
      <x:c r="J41" s="31" t="str">
        <x:v>Save this troubleshooting flow.</x:v>
      </x:c>
      <x:c r="K41" s="31" t="str">
        <x:v>#NorthstarCoffee #BrewBetter #CoffeeAtHome</x:v>
      </x:c>
      <x:c r="L41" s="34" t="str">
        <x:v>Planned</x:v>
      </x:c>
      <x:c r="M41" s="41"/>
      <x:c r="N41" s="41"/>
      <x:c r="O41" s="41"/>
      <x:c r="P41" s="41"/>
      <x:c r="Q41" s="41"/>
      <x:c r="R41" s="41"/>
      <x:c r="S41" s="41"/>
      <x:c r="T41" s="41"/>
      <x:c r="U41" s="40" t="str">
        <x:f>IF(M41=0,"",(N41+O41+P41+Q41)/M41)</x:f>
      </x:c>
      <x:c r="V41" s="40" t="str">
        <x:f>IF(M41=0,"",(P41+Q41)/M41)</x:f>
      </x:c>
    </x:row>
    <x:row r="42" ht="64" customHeight="1">
      <x:c r="A42" s="32" t="n">
        <x:v>25</x:v>
      </x:c>
      <x:c r="B42" s="39" t="d">
        <x:v>2026-11-25T00:00:00.000Z</x:v>
      </x:c>
      <x:c r="C42" s="31" t="str">
        <x:v>Product &amp; Community</x:v>
      </x:c>
      <x:c r="D42" s="31" t="str">
        <x:v>Stories</x:v>
      </x:c>
      <x:c r="E42" s="31" t="str">
        <x:v>Conversion</x:v>
      </x:c>
      <x:c r="F42" s="31" t="str">
        <x:v>Subscription Q&amp;A</x:v>
      </x:c>
      <x:c r="G42" s="31" t="str">
        <x:v>Curious about deliveries? Ask us anything.</x:v>
      </x:c>
      <x:c r="H42" s="31" t="str">
        <x:v>Question box; answer only confirmed policies and link terms.</x:v>
      </x:c>
      <x:c r="I42" s="31" t="str">
        <x:v>Delivery timing, coffee choices, changing your plan—we’re here for your questions.</x:v>
      </x:c>
      <x:c r="J42" s="31" t="str">
        <x:v>Ask about subscriptions.</x:v>
      </x:c>
      <x:c r="K42" s="31" t="str">
        <x:v>#NorthstarCoffee #BrewBetter #CoffeeAtHome</x:v>
      </x:c>
      <x:c r="L42" s="34" t="str">
        <x:v>Planned</x:v>
      </x:c>
      <x:c r="M42" s="41"/>
      <x:c r="N42" s="41"/>
      <x:c r="O42" s="41"/>
      <x:c r="P42" s="41"/>
      <x:c r="Q42" s="41"/>
      <x:c r="R42" s="41"/>
      <x:c r="S42" s="41"/>
      <x:c r="T42" s="41"/>
      <x:c r="U42" s="40" t="str">
        <x:f>IF(M42=0,"",(N42+O42+P42+Q42)/M42)</x:f>
      </x:c>
      <x:c r="V42" s="40" t="str">
        <x:f>IF(M42=0,"",(P42+Q42)/M42)</x:f>
      </x:c>
    </x:row>
    <x:row r="43" ht="64" customHeight="1">
      <x:c r="A43" s="32" t="n">
        <x:v>26</x:v>
      </x:c>
      <x:c r="B43" s="39" t="d">
        <x:v>2026-11-26T00:00:00.000Z</x:v>
      </x:c>
      <x:c r="C43" s="31" t="str">
        <x:v>Coffee Moments</x:v>
      </x:c>
      <x:c r="D43" s="31" t="str">
        <x:v>Photo</x:v>
      </x:c>
      <x:c r="E43" s="31" t="str">
        <x:v>Awareness</x:v>
      </x:c>
      <x:c r="F43" s="31" t="str">
        <x:v>Weekend coffee moment</x:v>
      </x:c>
      <x:c r="G43" s="31" t="str">
        <x:v>A little pause, poured slowly.</x:v>
      </x:c>
      <x:c r="H43" s="31" t="str">
        <x:v>Lifestyle still life; invite UGC with opt-in and credit permission.</x:v>
      </x:c>
      <x:c r="I43" s="31" t="str">
        <x:v>A quiet cup counts as a plan. Show us where your coffee break takes you—tag us if you’d like a feature.</x:v>
      </x:c>
      <x:c r="J43" s="31" t="str">
        <x:v>Tag your coffee moment.</x:v>
      </x:c>
      <x:c r="K43" s="31" t="str">
        <x:v>#NorthstarCoffee #BrewBetter #CoffeeAtHome</x:v>
      </x:c>
      <x:c r="L43" s="34" t="str">
        <x:v>Planned</x:v>
      </x:c>
      <x:c r="M43" s="41"/>
      <x:c r="N43" s="41"/>
      <x:c r="O43" s="41"/>
      <x:c r="P43" s="41"/>
      <x:c r="Q43" s="41"/>
      <x:c r="R43" s="41"/>
      <x:c r="S43" s="41"/>
      <x:c r="T43" s="41"/>
      <x:c r="U43" s="40" t="str">
        <x:f>IF(M43=0,"",(N43+O43+P43+Q43)/M43)</x:f>
      </x:c>
      <x:c r="V43" s="40" t="str">
        <x:f>IF(M43=0,"",(P43+Q43)/M43)</x:f>
      </x:c>
    </x:row>
    <x:row r="44" ht="64" customHeight="1">
      <x:c r="A44" s="32" t="n">
        <x:v>27</x:v>
      </x:c>
      <x:c r="B44" s="39" t="d">
        <x:v>2026-11-27T00:00:00.000Z</x:v>
      </x:c>
      <x:c r="C44" s="31" t="str">
        <x:v>Brew Better</x:v>
      </x:c>
      <x:c r="D44" s="31" t="str">
        <x:v>Reel</x:v>
      </x:c>
      <x:c r="E44" s="31" t="str">
        <x:v>Awareness</x:v>
      </x:c>
      <x:c r="F44" s="31" t="str">
        <x:v>Iced pour-over</x:v>
      </x:c>
      <x:c r="G44" s="31" t="str">
        <x:v>Bright, chilled coffee without the wait.</x:v>
      </x:c>
      <x:c r="H44" s="31" t="str">
        <x:v>Brew over ice; show water/ice ratio as a starting point.</x:v>
      </x:c>
      <x:c r="I44" s="31" t="str">
        <x:v>Brew hot coffee over ice for a refreshing cup. Use less brew water to account for melting ice, then adjust to taste.</x:v>
      </x:c>
      <x:c r="J44" s="31" t="str">
        <x:v>Save this iced brew.</x:v>
      </x:c>
      <x:c r="K44" s="31" t="str">
        <x:v>#NorthstarCoffee #BrewBetter #CoffeeAtHome</x:v>
      </x:c>
      <x:c r="L44" s="34" t="str">
        <x:v>Planned</x:v>
      </x:c>
      <x:c r="M44" s="41"/>
      <x:c r="N44" s="41"/>
      <x:c r="O44" s="41"/>
      <x:c r="P44" s="41"/>
      <x:c r="Q44" s="41"/>
      <x:c r="R44" s="41"/>
      <x:c r="S44" s="41"/>
      <x:c r="T44" s="41"/>
      <x:c r="U44" s="40" t="str">
        <x:f>IF(M44=0,"",(N44+O44+P44+Q44)/M44)</x:f>
      </x:c>
      <x:c r="V44" s="40" t="str">
        <x:f>IF(M44=0,"",(P44+Q44)/M44)</x:f>
      </x:c>
    </x:row>
    <x:row r="45" ht="64" customHeight="1">
      <x:c r="A45" s="32" t="n">
        <x:v>28</x:v>
      </x:c>
      <x:c r="B45" s="39" t="d">
        <x:v>2026-11-28T00:00:00.000Z</x:v>
      </x:c>
      <x:c r="C45" s="31" t="str">
        <x:v>Origin &amp; Craft</x:v>
      </x:c>
      <x:c r="D45" s="31" t="str">
        <x:v>Carousel</x:v>
      </x:c>
      <x:c r="E45" s="31" t="str">
        <x:v>Consideration</x:v>
      </x:c>
      <x:c r="F45" s="31" t="str">
        <x:v>How to taste coffee</x:v>
      </x:c>
      <x:c r="G45" s="31" t="str">
        <x:v>You don’t need fancy words to notice more.</x:v>
      </x:c>
      <x:c r="H45" s="31" t="str">
        <x:v>Three steps: smell, sip, notice sweetness/acidity/body; welcoming tone.</x:v>
      </x:c>
      <x:c r="I45" s="31" t="str">
        <x:v>Notice what stands out first: sweetness, brightness, texture, or finish. There’s no wrong answer—just your own palate.</x:v>
      </x:c>
      <x:c r="J45" s="31" t="str">
        <x:v>Try this with your next cup.</x:v>
      </x:c>
      <x:c r="K45" s="31" t="str">
        <x:v>#NorthstarCoffee #BrewBetter #CoffeeAtHome</x:v>
      </x:c>
      <x:c r="L45" s="34" t="str">
        <x:v>Planned</x:v>
      </x:c>
      <x:c r="M45" s="41"/>
      <x:c r="N45" s="41"/>
      <x:c r="O45" s="41"/>
      <x:c r="P45" s="41"/>
      <x:c r="Q45" s="41"/>
      <x:c r="R45" s="41"/>
      <x:c r="S45" s="41"/>
      <x:c r="T45" s="41"/>
      <x:c r="U45" s="40" t="str">
        <x:f>IF(M45=0,"",(N45+O45+P45+Q45)/M45)</x:f>
      </x:c>
      <x:c r="V45" s="40" t="str">
        <x:f>IF(M45=0,"",(P45+Q45)/M45)</x:f>
      </x:c>
    </x:row>
    <x:row r="46" ht="64" customHeight="1">
      <x:c r="A46" s="32" t="n">
        <x:v>29</x:v>
      </x:c>
      <x:c r="B46" s="39" t="d">
        <x:v>2026-11-29T00:00:00.000Z</x:v>
      </x:c>
      <x:c r="C46" s="31" t="str">
        <x:v>Product &amp; Community</x:v>
      </x:c>
      <x:c r="D46" s="31" t="str">
        <x:v>Reel</x:v>
      </x:c>
      <x:c r="E46" s="31" t="str">
        <x:v>Conversion</x:v>
      </x:c>
      <x:c r="F46" s="31" t="str">
        <x:v>Choose beans by brew method</x:v>
      </x:c>
      <x:c r="G46" s="31" t="str">
        <x:v>Pick coffee for the cup you want to make.</x:v>
      </x:c>
      <x:c r="H46" s="31" t="str">
        <x:v>Guide: espresso, filter, cold brew; link to matching collections.</x:v>
      </x:c>
      <x:c r="I46" s="31" t="str">
        <x:v>Your brewer can help narrow the search, but taste comes first. Browse coffees by roast and flavor notes, then experiment.</x:v>
      </x:c>
      <x:c r="J46" s="31" t="str">
        <x:v>Find your next coffee.</x:v>
      </x:c>
      <x:c r="K46" s="31" t="str">
        <x:v>#NorthstarCoffee #BrewBetter #CoffeeAtHome</x:v>
      </x:c>
      <x:c r="L46" s="34" t="str">
        <x:v>Planned</x:v>
      </x:c>
      <x:c r="M46" s="41"/>
      <x:c r="N46" s="41"/>
      <x:c r="O46" s="41"/>
      <x:c r="P46" s="41"/>
      <x:c r="Q46" s="41"/>
      <x:c r="R46" s="41"/>
      <x:c r="S46" s="41"/>
      <x:c r="T46" s="41"/>
      <x:c r="U46" s="40" t="str">
        <x:f>IF(M46=0,"",(N46+O46+P46+Q46)/M46)</x:f>
      </x:c>
      <x:c r="V46" s="40" t="str">
        <x:f>IF(M46=0,"",(P46+Q46)/M46)</x:f>
      </x:c>
    </x:row>
    <x:row r="47" ht="64" customHeight="1">
      <x:c r="A47" s="32" t="n">
        <x:v>30</x:v>
      </x:c>
      <x:c r="B47" s="39" t="d">
        <x:v>2026-11-30T00:00:00.000Z</x:v>
      </x:c>
      <x:c r="C47" s="31" t="str">
        <x:v>Coffee Moments</x:v>
      </x:c>
      <x:c r="D47" s="31" t="str">
        <x:v>Stories</x:v>
      </x:c>
      <x:c r="E47" s="31" t="str">
        <x:v>Consideration</x:v>
      </x:c>
      <x:c r="F47" s="31" t="str">
        <x:v>Month-end recap and vote</x:v>
      </x:c>
      <x:c r="G47" s="31" t="str">
        <x:v>Which tip should become a full guide?</x:v>
      </x:c>
      <x:c r="H47" s="31" t="str">
        <x:v>Recap verified top posts from Insights, or run a fresh poll if results are unavailable.</x:v>
      </x:c>
      <x:c r="I47" s="31" t="str">
        <x:v>Thanks for brewing along this month. Which would help most next: espresso, pour-over, or coffee origins?</x:v>
      </x:c>
      <x:c r="J47" s="31" t="str">
        <x:v>Vote for next month’s guide.</x:v>
      </x:c>
      <x:c r="K47" s="31" t="str">
        <x:v>#NorthstarCoffee #BrewBetter #CoffeeAtHome</x:v>
      </x:c>
      <x:c r="L47" s="34" t="str">
        <x:v>Planned</x:v>
      </x:c>
      <x:c r="M47" s="41"/>
      <x:c r="N47" s="41"/>
      <x:c r="O47" s="41"/>
      <x:c r="P47" s="41"/>
      <x:c r="Q47" s="41"/>
      <x:c r="R47" s="41"/>
      <x:c r="S47" s="41"/>
      <x:c r="T47" s="41"/>
      <x:c r="U47" s="40" t="str">
        <x:f>IF(M47=0,"",(N47+O47+P47+Q47)/M47)</x:f>
      </x:c>
      <x:c r="V47" s="40" t="str">
        <x:f>IF(M47=0,"",(P47+Q47)/M47)</x:f>
      </x:c>
    </x:row>
  </x:sheetData>
  <x:mergeCells>
    <x:mergeCell ref="A1:H1"/>
    <x:mergeCell ref="A2:H2"/>
    <x:mergeCell ref="A4:C4"/>
    <x:mergeCell ref="B5:C5"/>
    <x:mergeCell ref="B6:C6"/>
    <x:mergeCell ref="B7:C7"/>
    <x:mergeCell ref="B8:C8"/>
    <x:mergeCell ref="D4:F4"/>
    <x:mergeCell ref="A11:H11"/>
    <x:mergeCell ref="A15:V15"/>
  </x:mergeCells>
  <x:dataValidations count="1">
    <x:dataValidation type="list" allowBlank="0" showDropDown="0" sqref="L18:L47">
      <x:formula1>"Planned,In production,Scheduled,Published,Skipped"</x:formula1>
    </x:dataValidation>
  </x:dataValidations>
  <x:pageMargins left="0.7" right="0.7" top="0.75" bottom="0.75" header="0.3" footer="0.3"/>
</x:worksheet>
</file>