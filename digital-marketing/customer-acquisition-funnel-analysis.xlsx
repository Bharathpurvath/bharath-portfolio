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57d459193234cb2" /></Relationships>
</file>

<file path=xl/workbook.xml><?xml version="1.0" encoding="utf-8"?>
<x:workbook xmlns:x="http://schemas.openxmlformats.org/spreadsheetml/2006/main">
  <x:sheets>
    <x:sheet xmlns:r="http://schemas.openxmlformats.org/officeDocument/2006/relationships" name="Funnel Dashboard" sheetId="1" r:id="R7fc35e0410ad46f7"/>
    <x:sheet xmlns:r="http://schemas.openxmlformats.org/officeDocument/2006/relationships" name="Session Data" sheetId="2" r:id="Rab91be42f1034576"/>
    <x:sheet xmlns:r="http://schemas.openxmlformats.org/officeDocument/2006/relationships" name="Method &amp; SQL" sheetId="3" r:id="R41726f19e0b24dff"/>
  </x:sheets>
</x:workbook>
</file>

<file path=xl/sharedStrings.xml><?xml version="1.0" encoding="utf-8"?>
<x:sst xmlns:x="http://schemas.openxmlformats.org/spreadsheetml/2006/main"/>
</file>

<file path=xl/styles.xml><?xml version="1.0" encoding="utf-8"?>
<x:styleSheet xmlns:x="http://schemas.openxmlformats.org/spreadsheetml/2006/main">
  <x:numFmts count="8">
    <x:numFmt numFmtId="200" formatCode="0.0%"/>
    <x:numFmt numFmtId="201" formatCode="$#,##0.00"/>
    <x:numFmt numFmtId="202" formatCode="#,##0"/>
    <x:numFmt numFmtId="203" formatCode="$#,##0"/>
    <x:numFmt numFmtId="204" formatCode="mmm d"/>
    <x:numFmt numFmtId="205" formatCode="mmm d, yyyy"/>
    <x:numFmt numFmtId="206" formatCode="0"/>
    <x:numFmt numFmtId="207" formatCode="$0.00"/>
  </x:numFmts>
  <x:fonts count="13">
    <x:font>
      <x:sz val="11"/>
      <x:name val="Carlito"/>
    </x:font>
    <x:font>
      <x:b/>
      <x:sz val="16"/>
      <x:color rgb="FFFFFFFF"/>
      <x:name val="Carlito"/>
    </x:font>
    <x:font>
      <x:i/>
      <x:sz val="10"/>
      <x:color rgb="FF7D431F"/>
      <x:name val="Carlito"/>
    </x:font>
    <x:font>
      <x:b/>
      <x:sz val="9"/>
      <x:color rgb="FF202820"/>
      <x:name val="Carlito"/>
    </x:font>
    <x:font>
      <x:b/>
      <x:sz val="14"/>
      <x:color rgb="FF245B45"/>
      <x:name val="Carlito"/>
    </x:font>
    <x:font>
      <x:b/>
      <x:sz val="11"/>
      <x:color rgb="FFFFFFFF"/>
      <x:name val="Carlito"/>
    </x:font>
    <x:font>
      <x:b/>
      <x:sz val="11"/>
      <x:color rgb="FF202820"/>
      <x:name val="Carlito"/>
    </x:font>
    <x:font>
      <x:sz val="9"/>
      <x:color rgb="FF202820"/>
      <x:name val="Carlito"/>
    </x:font>
    <x:font>
      <x:sz val="10"/>
      <x:color rgb="FF7D431F"/>
      <x:name val="Carlito"/>
    </x:font>
    <x:font>
      <x:b/>
      <x:sz val="10"/>
      <x:color rgb="FFFFFFFF"/>
      <x:name val="Carlito"/>
    </x:font>
    <x:font>
      <x:b/>
      <x:sz val="15"/>
      <x:color rgb="FFFFFFFF"/>
      <x:name val="Carlito"/>
    </x:font>
    <x:font>
      <x:sz val="10"/>
      <x:color rgb="FF202820"/>
      <x:name val="Consolas"/>
    </x:font>
    <x:font>
      <x:sz val="10"/>
      <x:color rgb="FF202820"/>
      <x:name val="Carlito"/>
    </x:font>
  </x:fonts>
  <x:fills count="6">
    <x:fill>
      <x:patternFill patternType="none"/>
    </x:fill>
    <x:fill>
      <x:patternFill patternType="gray125"/>
    </x:fill>
    <x:fill>
      <x:patternFill patternType="solid">
        <x:fgColor rgb="FF245B45"/>
      </x:patternFill>
    </x:fill>
    <x:fill>
      <x:patternFill patternType="solid">
        <x:fgColor rgb="FFFFF0E7"/>
      </x:patternFill>
    </x:fill>
    <x:fill>
      <x:patternFill patternType="solid">
        <x:fgColor rgb="FFE8ECE4"/>
      </x:patternFill>
    </x:fill>
    <x:fill>
      <x:patternFill patternType="solid">
        <x:fgColor rgb="FFFFFEFA"/>
      </x:patternFill>
    </x:fill>
  </x:fills>
  <x:borders count="1">
    <x:border>
      <x:left/>
      <x:right/>
      <x:top/>
      <x:bottom/>
      <x:diagonal/>
    </x:border>
  </x:borders>
  <x:cellStyleXfs count="1">
    <x:xf numFmtId="0" fontId="0" fillId="0" borderId="0"/>
  </x:cellStyleXfs>
  <x:cellXfs count="5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horizontal="center"/>
    </x:xf>
    <x:xf numFmtId="200" fontId="4" fillId="5" borderId="0" xfId="0" applyNumberFormat="1" applyFont="1" applyFill="1" applyBorder="1" applyAlignment="1">
      <x:alignment horizontal="center"/>
    </x:xf>
    <x:xf numFmtId="201" fontId="4" fillId="5" borderId="0" xfId="0" applyNumberFormat="1" applyFont="1" applyFill="1" applyBorder="1" applyAlignment="1">
      <x:alignment horizontal="center"/>
    </x:xf>
    <x:xf numFmtId="0" fontId="5" fillId="2" borderId="0" xfId="0" applyNumberFormat="1" applyFont="1" applyFill="1" applyBorder="1"/>
    <x:xf numFmtId="0" fontId="6" fillId="4" borderId="0" xfId="0" applyNumberFormat="1" applyFont="1" applyFill="1" applyBorder="1"/>
    <x:xf numFmtId="0" fontId="6" fillId="4" borderId="0" xfId="0" applyNumberFormat="1" applyFont="1" applyFill="1" applyBorder="1" applyAlignment="1">
      <x:alignment wrapText="1"/>
    </x:xf>
    <x:xf numFmtId="200" fontId="0" fillId="0" borderId="0" xfId="0" applyNumberFormat="1" applyFont="1" applyFill="1" applyBorder="1"/>
    <x:xf numFmtId="202" fontId="0" fillId="0" borderId="0" xfId="0" applyNumberFormat="1" applyFont="1" applyFill="1" applyBorder="1"/>
    <x:xf numFmtId="0" fontId="7" fillId="0" borderId="0" xfId="0" applyNumberFormat="1" applyFont="1" applyFill="1" applyBorder="1"/>
    <x:xf numFmtId="202" fontId="7" fillId="0" borderId="0" xfId="0" applyNumberFormat="1" applyFont="1" applyFill="1" applyBorder="1"/>
    <x:xf numFmtId="200" fontId="7" fillId="0" borderId="0" xfId="0" applyNumberFormat="1" applyFont="1" applyFill="1" applyBorder="1"/>
    <x:xf numFmtId="0" fontId="7" fillId="0" borderId="0" xfId="0" applyNumberFormat="1" applyFont="1" applyFill="1" applyBorder="1" applyAlignment="1">
      <x:alignment wrapText="1"/>
    </x:xf>
    <x:xf numFmtId="202" fontId="7" fillId="0" borderId="0" xfId="0" applyNumberFormat="1" applyFont="1" applyFill="1" applyBorder="1" applyAlignment="1">
      <x:alignment wrapText="1"/>
    </x:xf>
    <x:xf numFmtId="200" fontId="7" fillId="0" borderId="0" xfId="0" applyNumberFormat="1" applyFont="1" applyFill="1" applyBorder="1" applyAlignment="1">
      <x:alignment wrapText="1"/>
    </x:xf>
    <x:xf numFmtId="0" fontId="7" fillId="0" borderId="0" xfId="0" applyNumberFormat="1" applyFont="1" applyFill="1" applyBorder="1" applyAlignment="1">
      <x:alignment vertical="center" wrapText="1"/>
    </x:xf>
    <x:xf numFmtId="202" fontId="7" fillId="0" borderId="0" xfId="0" applyNumberFormat="1" applyFont="1" applyFill="1" applyBorder="1" applyAlignment="1">
      <x:alignment vertical="center" wrapText="1"/>
    </x:xf>
    <x:xf numFmtId="200" fontId="7" fillId="0" borderId="0" xfId="0" applyNumberFormat="1" applyFont="1" applyFill="1" applyBorder="1" applyAlignment="1">
      <x:alignment vertical="center" wrapText="1"/>
    </x:xf>
    <x:xf numFmtId="203" fontId="0" fillId="0" borderId="0" xfId="0" applyNumberFormat="1" applyFont="1" applyFill="1" applyBorder="1"/>
    <x:xf numFmtId="204" fontId="0" fillId="0" borderId="0" xfId="0" applyNumberFormat="1" applyFont="1" applyFill="1" applyBorder="1"/>
    <x:xf numFmtId="0" fontId="8" fillId="3" borderId="0" xfId="0" applyNumberFormat="1" applyFont="1" applyFill="1" applyBorder="1"/>
    <x:xf numFmtId="0" fontId="8" fillId="3" borderId="0" xfId="0" applyNumberFormat="1" applyFont="1" applyFill="1" applyBorder="1" applyAlignment="1">
      <x:alignment wrapText="1"/>
    </x:xf>
    <x:xf numFmtId="0" fontId="7" fillId="4" borderId="0" xfId="0" applyNumberFormat="1" applyFont="1" applyFill="1" applyBorder="1"/>
    <x:xf numFmtId="0" fontId="7" fillId="4" borderId="0" xfId="0" applyNumberFormat="1" applyFont="1" applyFill="1" applyBorder="1" applyAlignment="1">
      <x:alignment wrapText="1"/>
    </x:xf>
    <x:xf numFmtId="0" fontId="9" fillId="2" borderId="0" xfId="0" applyNumberFormat="1" applyFont="1" applyFill="1" applyBorder="1"/>
    <x:xf numFmtId="0" fontId="9" fillId="2" borderId="0" xfId="0" applyNumberFormat="1" applyFont="1" applyFill="1" applyBorder="1" applyAlignment="1">
      <x:alignment wrapText="1"/>
    </x:xf>
    <x:xf numFmtId="205" fontId="0" fillId="0" borderId="0" xfId="0" applyNumberFormat="1" applyFont="1" applyFill="1" applyBorder="1"/>
    <x:xf numFmtId="206" fontId="0" fillId="0" borderId="0" xfId="0" applyNumberFormat="1" applyFont="1" applyFill="1" applyBorder="1"/>
    <x:xf numFmtId="207" fontId="0" fillId="0" borderId="0" xfId="0" applyNumberFormat="1" applyFont="1" applyFill="1" applyBorder="1"/>
    <x:xf numFmtId="205" fontId="7" fillId="0" borderId="0" xfId="0" applyNumberFormat="1" applyFont="1" applyFill="1" applyBorder="1"/>
    <x:xf numFmtId="206" fontId="7" fillId="0" borderId="0" xfId="0" applyNumberFormat="1" applyFont="1" applyFill="1" applyBorder="1"/>
    <x:xf numFmtId="207" fontId="7" fillId="0" borderId="0" xfId="0" applyNumberFormat="1" applyFont="1" applyFill="1" applyBorder="1"/>
    <x:xf numFmtId="205" fontId="7" fillId="0" borderId="0" xfId="0" applyNumberFormat="1" applyFont="1" applyFill="1" applyBorder="1" applyAlignment="1">
      <x:alignment vertical="center"/>
    </x:xf>
    <x:xf numFmtId="0" fontId="7" fillId="0" borderId="0" xfId="0" applyNumberFormat="1" applyFont="1" applyFill="1" applyBorder="1" applyAlignment="1">
      <x:alignment vertical="center"/>
    </x:xf>
    <x:xf numFmtId="206" fontId="7" fillId="0" borderId="0" xfId="0" applyNumberFormat="1" applyFont="1" applyFill="1" applyBorder="1" applyAlignment="1">
      <x:alignment vertical="center"/>
    </x:xf>
    <x:xf numFmtId="207" fontId="7" fillId="0" borderId="0" xfId="0" applyNumberFormat="1" applyFont="1" applyFill="1" applyBorder="1" applyAlignment="1">
      <x:alignment vertical="center"/>
    </x:xf>
    <x:xf numFmtId="0" fontId="10" fillId="2" borderId="0" xfId="0" applyNumberFormat="1" applyFont="1" applyFill="1" applyBorder="1"/>
    <x:xf numFmtId="0" fontId="5" fillId="2" borderId="0" xfId="0" applyNumberFormat="1" applyFont="1" applyFill="1" applyBorder="1" applyAlignment="1">
      <x:alignment wrapText="1"/>
    </x:xf>
    <x:xf numFmtId="0" fontId="7" fillId="0" borderId="0" xfId="0" applyNumberFormat="1" applyFont="1" applyFill="1" applyBorder="1" applyAlignment="1">
      <x:alignment vertical="top" wrapText="1"/>
    </x:xf>
    <x:xf numFmtId="0" fontId="11" fillId="0" borderId="0" xfId="0" applyNumberFormat="1" applyFont="1" applyFill="1" applyBorder="1"/>
    <x:xf numFmtId="0" fontId="11" fillId="0" borderId="0" xfId="0" applyNumberFormat="1" applyFont="1" applyFill="1" applyBorder="1" applyAlignment="1">
      <x:alignment wrapText="1"/>
    </x:xf>
    <x:xf numFmtId="0" fontId="11" fillId="0" borderId="0" xfId="0" applyNumberFormat="1" applyFont="1" applyFill="1" applyBorder="1" applyAlignment="1">
      <x:alignment vertical="top" wrapText="1"/>
    </x:xf>
    <x:xf numFmtId="0" fontId="12" fillId="0" borderId="0" xfId="0" applyNumberFormat="1" applyFont="1" applyFill="1" applyBorder="1"/>
    <x:xf numFmtId="0" fontId="12" fillId="0" borderId="0" xfId="0" applyNumberFormat="1" applyFont="1" applyFill="1" applyBorder="1" applyAlignment="1">
      <x:alignment wrapText="1"/>
    </x:xf>
    <x:xf numFmtId="0" fontId="12"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01a4b2ae4c7488d" /><Relationship Type="http://schemas.openxmlformats.org/officeDocument/2006/relationships/theme" Target="/xl/theme/theme1.xml" Id="R27dd21ed91154140" /><Relationship Type="http://schemas.openxmlformats.org/officeDocument/2006/relationships/sharedStrings" Target="/xl/sharedStrings.xml" Id="R1f71fd30d9cd45d4" /><Relationship Type="http://schemas.openxmlformats.org/officeDocument/2006/relationships/worksheet" Target="/xl/worksheets/sheet1.xml" Id="R7fc35e0410ad46f7" /><Relationship Type="http://schemas.openxmlformats.org/officeDocument/2006/relationships/worksheet" Target="/xl/worksheets/sheet2.xml" Id="Rab91be42f1034576" /><Relationship Type="http://schemas.openxmlformats.org/officeDocument/2006/relationships/worksheet" Target="/xl/worksheets/sheet3.xml" Id="R41726f19e0b24dff" /></Relationships>
</file>

<file path=xl/theme/theme1.xml><?xml version="1.0" encoding="utf-8"?>
<a:theme xmlns:a="http://schemas.openxmlformats.org/drawingml/2006/main" name="ChatGPT">
  <a:themeElements>
    <a:clrScheme name="Signal">
      <a:dk1>
        <a:srgbClr val="202820"/>
      </a:dk1>
      <a:lt1>
        <a:srgbClr val="FFFEFA"/>
      </a:lt1>
      <a:dk2>
        <a:srgbClr val="0E2841"/>
      </a:dk2>
      <a:lt2>
        <a:srgbClr val="F5F4EF"/>
      </a:lt2>
      <a:accent1>
        <a:srgbClr val="245B45"/>
      </a:accent1>
      <a:accent2>
        <a:srgbClr val="D7EF70"/>
      </a:accent2>
      <a:accent3>
        <a:srgbClr val="E78352"/>
      </a:accent3>
      <a:accent4>
        <a:srgbClr val="CADFF1"/>
      </a:accent4>
      <a:accent5>
        <a:srgbClr val="8077A2"/>
      </a:accent5>
      <a:accent6>
        <a:srgbClr val="DBDDD4"/>
      </a:accent6>
      <a:hlink>
        <a:srgbClr val="245B45"/>
      </a:hlink>
      <a:folHlink>
        <a:srgbClr val="8077A2"/>
      </a:folHlink>
    </a:clrScheme>
    <a:fontScheme name="Office">
      <a:majorFont>
        <a:latin typeface="Calibri Light"/>
        <a:ea typeface="Calibri Light"/>
        <a:cs typeface="Calibri Light"/>
      </a:majorFont>
      <a:minorFont>
        <a:latin typeface="Calibri"/>
        <a:ea typeface="Calibri"/>
        <a:cs typeface="Calibri"/>
      </a:minorFont>
    </a:fontScheme>
    <a:fmtScheme name="Signal">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workbookViewId="0">
      <x:pane ySplit="2" topLeftCell="A3" activePane="bottomLeft" state="frozen"/>
    </x:sheetView>
  </x:sheetViews>
  <x:sheetFormatPr defaultRowHeight="15"/>
  <x:cols>
    <x:col min="1" max="1" width="24" hidden="0" customWidth="1"/>
    <x:col min="2" max="2" width="18" hidden="0" customWidth="1"/>
    <x:col min="3" max="3" width="17" hidden="0" customWidth="1"/>
    <x:col min="4" max="4" width="19" hidden="0" customWidth="1"/>
    <x:col min="5" max="5" width="18" hidden="0" customWidth="1"/>
    <x:col min="6" max="6" width="18" hidden="0" customWidth="1"/>
    <x:col min="7" max="7" width="17" hidden="0" customWidth="1"/>
    <x:col min="8" max="8" width="23" hidden="0" customWidth="1"/>
    <x:col min="9" max="9" width="15" hidden="0" customWidth="1"/>
    <x:col min="10" max="10" width="18" hidden="0" customWidth="1"/>
    <x:col min="11" max="11" width="18" hidden="0" customWidth="1"/>
    <x:col min="12" max="12" width="18" hidden="0" customWidth="1"/>
    <x:col min="13" max="13" width="18" hidden="0" customWidth="1"/>
    <x:col min="14" max="14" width="18" hidden="0" customWidth="1"/>
  </x:cols>
  <x:sheetData>
    <x:row r="1" ht="36" customHeight="1">
      <x:c r="A1" s="2" t="str">
        <x:v>NORTHSTAR COFFEE  /  ACQUISITION FUNNEL ANALYTICS</x:v>
      </x:c>
      <x:c r="B1" s="2"/>
      <x:c r="C1" s="2"/>
      <x:c r="D1" s="2"/>
      <x:c r="E1" s="2"/>
      <x:c r="F1" s="2"/>
      <x:c r="G1" s="2"/>
      <x:c r="H1" s="2"/>
      <x:c r="I1" s="2"/>
      <x:c r="J1" s="2"/>
    </x:row>
    <x:row r="2" ht="28" customHeight="1">
      <x:c r="A2" s="5" t="str">
        <x:v>GA4-style portfolio case study  •  10 complete weeks, 10 Aug–18 Oct 2026  •  Synthetic session data, not actual Northstar analytics</x:v>
      </x:c>
      <x:c r="B2" s="5"/>
      <x:c r="C2" s="5"/>
      <x:c r="D2" s="5"/>
      <x:c r="E2" s="5"/>
      <x:c r="F2" s="5"/>
      <x:c r="G2" s="5"/>
      <x:c r="H2" s="5"/>
      <x:c r="I2" s="5"/>
      <x:c r="J2" s="5"/>
    </x:row>
    <x:row r="4" ht="38" customHeight="1">
      <x:c r="A4" s="8" t="str">
        <x:v>Sessions</x:v>
      </x:c>
      <x:c r="B4" s="8" t="str">
        <x:v>Product views</x:v>
      </x:c>
      <x:c r="C4" s="8" t="str">
        <x:v>Product view rate</x:v>
      </x:c>
      <x:c r="D4" s="8" t="str">
        <x:v>Checkout starts</x:v>
      </x:c>
      <x:c r="E4" s="8" t="str">
        <x:v>Product→checkout</x:v>
      </x:c>
      <x:c r="F4" s="8" t="str">
        <x:v>Purchases</x:v>
      </x:c>
      <x:c r="G4" s="8" t="str">
        <x:v>Checkout→purchase</x:v>
      </x:c>
      <x:c r="H4" s="8" t="str">
        <x:v>Session purchase rate</x:v>
      </x:c>
      <x:c r="I4" s="8" t="str">
        <x:v>Revenue (USD)</x:v>
      </x:c>
      <x:c r="J4" s="8" t="str">
        <x:v>Avg. order value</x:v>
      </x:c>
    </x:row>
    <x:row r="5" ht="42" customHeight="1">
      <x:c r="A5" s="11" t="n">
        <x:f>SUM('Session Data'!G2:G101)</x:f>
        <x:v>8000</x:v>
      </x:c>
      <x:c r="B5" s="11" t="n">
        <x:f>SUM('Session Data'!H2:H101)</x:f>
        <x:v>3598</x:v>
      </x:c>
      <x:c r="C5" s="12" t="n">
        <x:f>IFERROR(B5/A5,0)</x:f>
        <x:v>0.44975</x:v>
      </x:c>
      <x:c r="D5" s="11" t="n">
        <x:f>SUM('Session Data'!I2:I101)</x:f>
        <x:v>630</x:v>
      </x:c>
      <x:c r="E5" s="12" t="n">
        <x:f>IFERROR(D5/B5,0)</x:f>
        <x:v>0.17509727626459143</x:v>
      </x:c>
      <x:c r="F5" s="11" t="n">
        <x:f>SUM('Session Data'!J2:J101)</x:f>
        <x:v>195</x:v>
      </x:c>
      <x:c r="G5" s="12" t="n">
        <x:f>IFERROR(F5/D5,0)</x:f>
        <x:v>0.30952380952380953</x:v>
      </x:c>
      <x:c r="H5" s="12" t="n">
        <x:f>IFERROR(F5/A5,0)</x:f>
        <x:v>0.024375</x:v>
      </x:c>
      <x:c r="I5" s="13" t="n">
        <x:f>SUM('Session Data'!K2:K101)</x:f>
        <x:v>8089</x:v>
      </x:c>
      <x:c r="J5" s="13" t="n">
        <x:f>IFERROR(I5/F5,0)</x:f>
        <x:v>41.48205128205128</x:v>
      </x:c>
    </x:row>
    <x:row r="8">
      <x:c r="A8" s="14" t="str">
        <x:v>OVERALL FUNNEL  /  Distinct sessions reaching each sequential stage</x:v>
      </x:c>
      <x:c r="B8" s="14"/>
      <x:c r="C8" s="14"/>
      <x:c r="D8" s="14"/>
      <x:c r="E8" s="14"/>
      <x:c r="F8" s="14"/>
      <x:c r="H8" s="14" t="str">
        <x:v>CHANNEL FUNNEL  /  Diagnose where each source loses sessions</x:v>
      </x:c>
      <x:c r="I8" s="14"/>
      <x:c r="J8" s="14"/>
      <x:c r="K8" s="14"/>
      <x:c r="L8" s="14"/>
      <x:c r="M8" s="14"/>
      <x:c r="N8" s="14"/>
    </x:row>
    <x:row r="9" ht="34" customHeight="1">
      <x:c r="A9" s="16" t="str">
        <x:v>Stage</x:v>
      </x:c>
      <x:c r="B9" s="16" t="str">
        <x:v>Sessions at stage</x:v>
      </x:c>
      <x:c r="C9" s="16" t="str">
        <x:v>Progression from prior</x:v>
      </x:c>
      <x:c r="D9" s="16" t="str">
        <x:v>Drop-off sessions</x:v>
      </x:c>
      <x:c r="E9" s="16" t="str">
        <x:v>Drop-off rate</x:v>
      </x:c>
      <x:c r="F9" s="16" t="str">
        <x:v>How to read</x:v>
      </x:c>
      <x:c r="H9" s="8" t="str">
        <x:v>Channel</x:v>
      </x:c>
      <x:c r="I9" s="8" t="str">
        <x:v>Sessions</x:v>
      </x:c>
      <x:c r="J9" s="8" t="str">
        <x:v>Product view rate</x:v>
      </x:c>
      <x:c r="K9" s="8" t="str">
        <x:v>Checkout rate*</x:v>
      </x:c>
      <x:c r="L9" s="8" t="str">
        <x:v>Purchase rate*</x:v>
      </x:c>
      <x:c r="M9" s="8" t="str">
        <x:v>Session purchase rate</x:v>
      </x:c>
      <x:c r="N9" s="8" t="str">
        <x:v>Revenue</x:v>
      </x:c>
    </x:row>
    <x:row r="10" ht="30" customHeight="1">
      <x:c r="A10" s="25" t="str">
        <x:v>Site session</x:v>
      </x:c>
      <x:c r="B10" s="26" t="n">
        <x:f>SUM('Session Data'!G2:G101)</x:f>
        <x:v>8000</x:v>
      </x:c>
      <x:c r="C10" s="25" t="str">
        <x:v>—</x:v>
      </x:c>
      <x:c r="D10" s="25" t="str">
        <x:v>—</x:v>
      </x:c>
      <x:c r="E10" s="25" t="str">
        <x:v>—</x:v>
      </x:c>
      <x:c r="F10" s="25" t="str">
        <x:v>Entry sessions in sample</x:v>
      </x:c>
      <x:c r="H10" t="str">
        <x:v>Organic Search</x:v>
      </x:c>
      <x:c r="I10" s="18" t="n">
        <x:f>SUMIFS('Session Data'!$G$2:$G$101,'Session Data'!$D$2:$D$101,$H10)</x:f>
        <x:v>1600</x:v>
      </x:c>
      <x:c r="J10" s="17" t="n">
        <x:f>IFERROR(SUMIFS('Session Data'!$H$2:$H$101,'Session Data'!$D$2:$D$101,$H10)/I10,0)</x:f>
        <x:v>0.544375</x:v>
      </x:c>
      <x:c r="K10" s="17" t="n">
        <x:f>IFERROR(SUMIFS('Session Data'!$I$2:$I$101,'Session Data'!$D$2:$D$101,$H10)/SUMIFS('Session Data'!$H$2:$H$101,'Session Data'!$D$2:$D$101,$H10),0)</x:f>
        <x:v>0.18140068886337543</x:v>
      </x:c>
      <x:c r="L10" s="17" t="n">
        <x:f>IFERROR(SUMIFS('Session Data'!$J$2:$J$101,'Session Data'!$D$2:$D$101,$H10)/SUMIFS('Session Data'!$I$2:$I$101,'Session Data'!$D$2:$D$101,$H10),0)</x:f>
        <x:v>0.3227848101265823</x:v>
      </x:c>
      <x:c r="M10" s="17" t="n">
        <x:f>IFERROR(SUMIFS('Session Data'!$J$2:$J$101,'Session Data'!$D$2:$D$101,$H10)/I10,0)</x:f>
        <x:v>0.031875</x:v>
      </x:c>
      <x:c r="N10" s="28" t="n">
        <x:f>SUMIFS('Session Data'!$K$2:$K$101,'Session Data'!$D$2:$D$101,$H10)</x:f>
        <x:v>2063</x:v>
      </x:c>
    </x:row>
    <x:row r="11" ht="30" customHeight="1">
      <x:c r="A11" s="25" t="str">
        <x:v>Product detail viewed</x:v>
      </x:c>
      <x:c r="B11" s="26" t="n">
        <x:f>SUM('Session Data'!H2:H101)</x:f>
        <x:v>3598</x:v>
      </x:c>
      <x:c r="C11" s="27" t="n">
        <x:f>IFERROR(B11/B10,0)</x:f>
        <x:v>0.44975</x:v>
      </x:c>
      <x:c r="D11" s="26" t="n">
        <x:f>B10-B11</x:f>
        <x:v>4402</x:v>
      </x:c>
      <x:c r="E11" s="27" t="n">
        <x:f>IFERROR(D11/B10,0)</x:f>
        <x:v>0.55025</x:v>
      </x:c>
      <x:c r="F11" s="25" t="str">
        <x:v>Session reached a product page</x:v>
      </x:c>
      <x:c r="H11" t="str">
        <x:v>Paid Search</x:v>
      </x:c>
      <x:c r="I11" s="18" t="n">
        <x:f>SUMIFS('Session Data'!$G$2:$G$101,'Session Data'!$D$2:$D$101,$H11)</x:f>
        <x:v>1600</x:v>
      </x:c>
      <x:c r="J11" s="17" t="n">
        <x:f>IFERROR(SUMIFS('Session Data'!$H$2:$H$101,'Session Data'!$D$2:$D$101,$H11)/I11,0)</x:f>
        <x:v>0.411875</x:v>
      </x:c>
      <x:c r="K11" s="17" t="n">
        <x:f>IFERROR(SUMIFS('Session Data'!$I$2:$I$101,'Session Data'!$D$2:$D$101,$H11)/SUMIFS('Session Data'!$H$2:$H$101,'Session Data'!$D$2:$D$101,$H11),0)</x:f>
        <x:v>0.13960546282245828</x:v>
      </x:c>
      <x:c r="L11" s="17" t="n">
        <x:f>IFERROR(SUMIFS('Session Data'!$J$2:$J$101,'Session Data'!$D$2:$D$101,$H11)/SUMIFS('Session Data'!$I$2:$I$101,'Session Data'!$D$2:$D$101,$H11),0)</x:f>
        <x:v>0.2717391304347826</x:v>
      </x:c>
      <x:c r="M11" s="17" t="n">
        <x:f>IFERROR(SUMIFS('Session Data'!$J$2:$J$101,'Session Data'!$D$2:$D$101,$H11)/I11,0)</x:f>
        <x:v>0.015625</x:v>
      </x:c>
      <x:c r="N11" s="28" t="n">
        <x:f>SUMIFS('Session Data'!$K$2:$K$101,'Session Data'!$D$2:$D$101,$H11)</x:f>
        <x:v>1090</x:v>
      </x:c>
    </x:row>
    <x:row r="12" ht="30" customHeight="1">
      <x:c r="A12" s="25" t="str">
        <x:v>Checkout started</x:v>
      </x:c>
      <x:c r="B12" s="26" t="n">
        <x:f>SUM('Session Data'!I2:I101)</x:f>
        <x:v>630</x:v>
      </x:c>
      <x:c r="C12" s="27" t="n">
        <x:f>IFERROR(B12/B11,0)</x:f>
        <x:v>0.17509727626459143</x:v>
      </x:c>
      <x:c r="D12" s="26" t="n">
        <x:f>B11-B12</x:f>
        <x:v>2968</x:v>
      </x:c>
      <x:c r="E12" s="27" t="n">
        <x:f>IFERROR(D12/B11,0)</x:f>
        <x:v>0.8249027237354085</x:v>
      </x:c>
      <x:c r="F12" s="25" t="str">
        <x:v>Session began checkout</x:v>
      </x:c>
      <x:c r="H12" t="str">
        <x:v>Organic Social</x:v>
      </x:c>
      <x:c r="I12" s="18" t="n">
        <x:f>SUMIFS('Session Data'!$G$2:$G$101,'Session Data'!$D$2:$D$101,$H12)</x:f>
        <x:v>1600</x:v>
      </x:c>
      <x:c r="J12" s="17" t="n">
        <x:f>IFERROR(SUMIFS('Session Data'!$H$2:$H$101,'Session Data'!$D$2:$D$101,$H12)/I12,0)</x:f>
        <x:v>0.288125</x:v>
      </x:c>
      <x:c r="K12" s="17" t="n">
        <x:f>IFERROR(SUMIFS('Session Data'!$I$2:$I$101,'Session Data'!$D$2:$D$101,$H12)/SUMIFS('Session Data'!$H$2:$H$101,'Session Data'!$D$2:$D$101,$H12),0)</x:f>
        <x:v>0.12581344902386118</x:v>
      </x:c>
      <x:c r="L12" s="17" t="n">
        <x:f>IFERROR(SUMIFS('Session Data'!$J$2:$J$101,'Session Data'!$D$2:$D$101,$H12)/SUMIFS('Session Data'!$I$2:$I$101,'Session Data'!$D$2:$D$101,$H12),0)</x:f>
        <x:v>0.3103448275862069</x:v>
      </x:c>
      <x:c r="M12" s="17" t="n">
        <x:f>IFERROR(SUMIFS('Session Data'!$J$2:$J$101,'Session Data'!$D$2:$D$101,$H12)/I12,0)</x:f>
        <x:v>0.01125</x:v>
      </x:c>
      <x:c r="N12" s="28" t="n">
        <x:f>SUMIFS('Session Data'!$K$2:$K$101,'Session Data'!$D$2:$D$101,$H12)</x:f>
        <x:v>720</x:v>
      </x:c>
    </x:row>
    <x:row r="13" ht="30" customHeight="1">
      <x:c r="A13" s="25" t="str">
        <x:v>Purchase completed</x:v>
      </x:c>
      <x:c r="B13" s="26" t="n">
        <x:f>SUM('Session Data'!J2:J101)</x:f>
        <x:v>195</x:v>
      </x:c>
      <x:c r="C13" s="27" t="n">
        <x:f>IFERROR(B13/B12,0)</x:f>
        <x:v>0.30952380952380953</x:v>
      </x:c>
      <x:c r="D13" s="26" t="n">
        <x:f>B12-B13</x:f>
        <x:v>435</x:v>
      </x:c>
      <x:c r="E13" s="27" t="n">
        <x:f>IFERROR(D13/B12,0)</x:f>
        <x:v>0.6904761904761905</x:v>
      </x:c>
      <x:c r="F13" s="25" t="str">
        <x:v>Session completed purchase</x:v>
      </x:c>
      <x:c r="H13" t="str">
        <x:v>Email</x:v>
      </x:c>
      <x:c r="I13" s="18" t="n">
        <x:f>SUMIFS('Session Data'!$G$2:$G$101,'Session Data'!$D$2:$D$101,$H13)</x:f>
        <x:v>1600</x:v>
      </x:c>
      <x:c r="J13" s="17" t="n">
        <x:f>IFERROR(SUMIFS('Session Data'!$H$2:$H$101,'Session Data'!$D$2:$D$101,$H13)/I13,0)</x:f>
        <x:v>0.545</x:v>
      </x:c>
      <x:c r="K13" s="17" t="n">
        <x:f>IFERROR(SUMIFS('Session Data'!$I$2:$I$101,'Session Data'!$D$2:$D$101,$H13)/SUMIFS('Session Data'!$H$2:$H$101,'Session Data'!$D$2:$D$101,$H13),0)</x:f>
        <x:v>0.20756880733944955</x:v>
      </x:c>
      <x:c r="L13" s="17" t="n">
        <x:f>IFERROR(SUMIFS('Session Data'!$J$2:$J$101,'Session Data'!$D$2:$D$101,$H13)/SUMIFS('Session Data'!$I$2:$I$101,'Session Data'!$D$2:$D$101,$H13),0)</x:f>
        <x:v>0.3259668508287293</x:v>
      </x:c>
      <x:c r="M13" s="17" t="n">
        <x:f>IFERROR(SUMIFS('Session Data'!$J$2:$J$101,'Session Data'!$D$2:$D$101,$H13)/I13,0)</x:f>
        <x:v>0.036875</x:v>
      </x:c>
      <x:c r="N13" s="28" t="n">
        <x:f>SUMIFS('Session Data'!$K$2:$K$101,'Session Data'!$D$2:$D$101,$H13)</x:f>
        <x:v>2437</x:v>
      </x:c>
    </x:row>
    <x:row r="14">
      <x:c r="H14" t="str">
        <x:v>Direct</x:v>
      </x:c>
      <x:c r="I14" s="18" t="n">
        <x:f>SUMIFS('Session Data'!$G$2:$G$101,'Session Data'!$D$2:$D$101,$H14)</x:f>
        <x:v>1600</x:v>
      </x:c>
      <x:c r="J14" s="17" t="n">
        <x:f>IFERROR(SUMIFS('Session Data'!$H$2:$H$101,'Session Data'!$D$2:$D$101,$H14)/I14,0)</x:f>
        <x:v>0.459375</x:v>
      </x:c>
      <x:c r="K14" s="17" t="n">
        <x:f>IFERROR(SUMIFS('Session Data'!$I$2:$I$101,'Session Data'!$D$2:$D$101,$H14)/SUMIFS('Session Data'!$H$2:$H$101,'Session Data'!$D$2:$D$101,$H14),0)</x:f>
        <x:v>0.19183673469387755</x:v>
      </x:c>
      <x:c r="L14" s="17" t="n">
        <x:f>IFERROR(SUMIFS('Session Data'!$J$2:$J$101,'Session Data'!$D$2:$D$101,$H14)/SUMIFS('Session Data'!$I$2:$I$101,'Session Data'!$D$2:$D$101,$H14),0)</x:f>
        <x:v>0.2978723404255319</x:v>
      </x:c>
      <x:c r="M14" s="17" t="n">
        <x:f>IFERROR(SUMIFS('Session Data'!$J$2:$J$101,'Session Data'!$D$2:$D$101,$H14)/I14,0)</x:f>
        <x:v>0.02625</x:v>
      </x:c>
      <x:c r="N14" s="28" t="n">
        <x:f>SUMIFS('Session Data'!$K$2:$K$101,'Session Data'!$D$2:$D$101,$H14)</x:f>
        <x:v>1779</x:v>
      </x:c>
    </x:row>
    <x:row r="16">
      <x:c r="A16" s="14" t="str">
        <x:v>WEEKLY TREND  /  10 weeks</x:v>
      </x:c>
      <x:c r="B16" s="14"/>
      <x:c r="C16" s="14"/>
      <x:c r="D16" s="14"/>
      <x:c r="E16" s="14"/>
      <x:c r="F16" s="14"/>
      <x:c r="H16" s="14" t="str">
        <x:v>DEVICE FUNNEL  /  Compare rates; raw volume alone can mislead</x:v>
      </x:c>
      <x:c r="I16" s="14"/>
      <x:c r="J16" s="14"/>
      <x:c r="K16" s="14"/>
      <x:c r="L16" s="14"/>
      <x:c r="M16" s="14"/>
      <x:c r="N16" s="14"/>
    </x:row>
    <x:row r="17" ht="34" customHeight="1">
      <x:c r="A17" s="16" t="str">
        <x:v>Week starting</x:v>
      </x:c>
      <x:c r="B17" s="16" t="str">
        <x:v>Sessions</x:v>
      </x:c>
      <x:c r="C17" s="16" t="str">
        <x:v>Product views</x:v>
      </x:c>
      <x:c r="D17" s="16" t="str">
        <x:v>Checkout starts</x:v>
      </x:c>
      <x:c r="E17" s="16" t="str">
        <x:v>Purchases</x:v>
      </x:c>
      <x:c r="F17" s="16" t="str">
        <x:v>Session purchase rate</x:v>
      </x:c>
      <x:c r="H17" s="16" t="str">
        <x:v>Device</x:v>
      </x:c>
      <x:c r="I17" s="16" t="str">
        <x:v>Sessions</x:v>
      </x:c>
      <x:c r="J17" s="16" t="str">
        <x:v>Product view rate</x:v>
      </x:c>
      <x:c r="K17" s="16" t="str">
        <x:v>Checkout rate*</x:v>
      </x:c>
      <x:c r="L17" s="16" t="str">
        <x:v>Purchase rate*</x:v>
      </x:c>
      <x:c r="M17" s="16" t="str">
        <x:v>Session purchase rate</x:v>
      </x:c>
    </x:row>
    <x:row r="18">
      <x:c r="A18" s="29" t="d">
        <x:v>2026-08-10T00:00:00.000Z</x:v>
      </x:c>
      <x:c r="B18" s="18" t="n">
        <x:f>SUMIFS('Session Data'!$G$2:$G$101,'Session Data'!$A$2:$A$101,$A18)</x:f>
        <x:v>800</x:v>
      </x:c>
      <x:c r="C18" s="18" t="n">
        <x:f>SUMIFS('Session Data'!$H$2:$H$101,'Session Data'!$A$2:$A$101,$A18)</x:f>
        <x:v>357</x:v>
      </x:c>
      <x:c r="D18" s="18" t="n">
        <x:f>SUMIFS('Session Data'!$I$2:$I$101,'Session Data'!$A$2:$A$101,$A18)</x:f>
        <x:v>63</x:v>
      </x:c>
      <x:c r="E18" s="18" t="n">
        <x:f>SUMIFS('Session Data'!$J$2:$J$101,'Session Data'!$A$2:$A$101,$A18)</x:f>
        <x:v>18</x:v>
      </x:c>
      <x:c r="F18" s="17" t="n">
        <x:f>IFERROR(E18/B18,0)</x:f>
        <x:v>0.0225</x:v>
      </x:c>
      <x:c r="H18" t="str">
        <x:v>Mobile</x:v>
      </x:c>
      <x:c r="I18" t="n">
        <x:f>SUMIFS('Session Data'!$G$2:$G$101,'Session Data'!$E$2:$E$101,$H18)</x:f>
        <x:v>4000</x:v>
      </x:c>
      <x:c r="J18" s="17" t="n">
        <x:f>IFERROR(SUMIFS('Session Data'!$H$2:$H$101,'Session Data'!$E$2:$E$101,$H18)/SUMIFS('Session Data'!$G$2:$G$101,'Session Data'!$E$2:$E$101,$H18),0)</x:f>
        <x:v>0.3955</x:v>
      </x:c>
      <x:c r="K18" s="17" t="n">
        <x:f>IFERROR(SUMIFS('Session Data'!$I$2:$I$101,'Session Data'!$E$2:$E$101,$H18)/SUMIFS('Session Data'!$H$2:$H$101,'Session Data'!$E$2:$E$101,$H18),0)</x:f>
        <x:v>0.13147914032869784</x:v>
      </x:c>
      <x:c r="L18" s="17" t="n">
        <x:f>IFERROR(SUMIFS('Session Data'!$J$2:$J$101,'Session Data'!$E$2:$E$101,$H18)/SUMIFS('Session Data'!$I$2:$I$101,'Session Data'!$E$2:$E$101,$H18),0)</x:f>
        <x:v>0.21153846153846154</x:v>
      </x:c>
      <x:c r="M18" s="17" t="n">
        <x:f>IFERROR(SUMIFS('Session Data'!$J$2:$J$101,'Session Data'!$E$2:$E$101,$H18)/I18,0)</x:f>
        <x:v>0.011</x:v>
      </x:c>
    </x:row>
    <x:row r="19">
      <x:c r="A19" s="29" t="d">
        <x:v>2026-08-17T00:00:00.000Z</x:v>
      </x:c>
      <x:c r="B19" s="18" t="n">
        <x:f>SUMIFS('Session Data'!$G$2:$G$101,'Session Data'!$A$2:$A$101,$A19)</x:f>
        <x:v>800</x:v>
      </x:c>
      <x:c r="C19" s="18" t="n">
        <x:f>SUMIFS('Session Data'!$H$2:$H$101,'Session Data'!$A$2:$A$101,$A19)</x:f>
        <x:v>360</x:v>
      </x:c>
      <x:c r="D19" s="18" t="n">
        <x:f>SUMIFS('Session Data'!$I$2:$I$101,'Session Data'!$A$2:$A$101,$A19)</x:f>
        <x:v>64</x:v>
      </x:c>
      <x:c r="E19" s="18" t="n">
        <x:f>SUMIFS('Session Data'!$J$2:$J$101,'Session Data'!$A$2:$A$101,$A19)</x:f>
        <x:v>17</x:v>
      </x:c>
      <x:c r="F19" s="17" t="n">
        <x:f>IFERROR(E19/B19,0)</x:f>
        <x:v>0.02125</x:v>
      </x:c>
      <x:c r="H19" t="str">
        <x:v>Desktop</x:v>
      </x:c>
      <x:c r="I19" t="n">
        <x:f>SUMIFS('Session Data'!$G$2:$G$101,'Session Data'!$E$2:$E$101,$H19)</x:f>
        <x:v>4000</x:v>
      </x:c>
      <x:c r="J19" s="17" t="n">
        <x:f>IFERROR(SUMIFS('Session Data'!$H$2:$H$101,'Session Data'!$E$2:$E$101,$H19)/SUMIFS('Session Data'!$G$2:$G$101,'Session Data'!$E$2:$E$101,$H19),0)</x:f>
        <x:v>0.504</x:v>
      </x:c>
      <x:c r="K19" s="17" t="n">
        <x:f>IFERROR(SUMIFS('Session Data'!$I$2:$I$101,'Session Data'!$E$2:$E$101,$H19)/SUMIFS('Session Data'!$H$2:$H$101,'Session Data'!$E$2:$E$101,$H19),0)</x:f>
        <x:v>0.20932539682539683</x:v>
      </x:c>
      <x:c r="L19" s="17" t="n">
        <x:f>IFERROR(SUMIFS('Session Data'!$J$2:$J$101,'Session Data'!$E$2:$E$101,$H19)/SUMIFS('Session Data'!$I$2:$I$101,'Session Data'!$E$2:$E$101,$H19),0)</x:f>
        <x:v>0.3578199052132701</x:v>
      </x:c>
      <x:c r="M19" s="17" t="n">
        <x:f>IFERROR(SUMIFS('Session Data'!$J$2:$J$101,'Session Data'!$E$2:$E$101,$H19)/I19,0)</x:f>
        <x:v>0.03775</x:v>
      </x:c>
    </x:row>
    <x:row r="20">
      <x:c r="A20" s="29" t="d">
        <x:v>2026-08-24T00:00:00.000Z</x:v>
      </x:c>
      <x:c r="B20" s="18" t="n">
        <x:f>SUMIFS('Session Data'!$G$2:$G$101,'Session Data'!$A$2:$A$101,$A20)</x:f>
        <x:v>800</x:v>
      </x:c>
      <x:c r="C20" s="18" t="n">
        <x:f>SUMIFS('Session Data'!$H$2:$H$101,'Session Data'!$A$2:$A$101,$A20)</x:f>
        <x:v>331</x:v>
      </x:c>
      <x:c r="D20" s="18" t="n">
        <x:f>SUMIFS('Session Data'!$I$2:$I$101,'Session Data'!$A$2:$A$101,$A20)</x:f>
        <x:v>54</x:v>
      </x:c>
      <x:c r="E20" s="18" t="n">
        <x:f>SUMIFS('Session Data'!$J$2:$J$101,'Session Data'!$A$2:$A$101,$A20)</x:f>
        <x:v>14</x:v>
      </x:c>
      <x:c r="F20" s="17" t="n">
        <x:f>IFERROR(E20/B20,0)</x:f>
        <x:v>0.0175</x:v>
      </x:c>
    </x:row>
    <x:row r="21">
      <x:c r="A21" s="29" t="d">
        <x:v>2026-08-31T00:00:00.000Z</x:v>
      </x:c>
      <x:c r="B21" s="18" t="n">
        <x:f>SUMIFS('Session Data'!$G$2:$G$101,'Session Data'!$A$2:$A$101,$A21)</x:f>
        <x:v>800</x:v>
      </x:c>
      <x:c r="C21" s="18" t="n">
        <x:f>SUMIFS('Session Data'!$H$2:$H$101,'Session Data'!$A$2:$A$101,$A21)</x:f>
        <x:v>351</x:v>
      </x:c>
      <x:c r="D21" s="18" t="n">
        <x:f>SUMIFS('Session Data'!$I$2:$I$101,'Session Data'!$A$2:$A$101,$A21)</x:f>
        <x:v>44</x:v>
      </x:c>
      <x:c r="E21" s="18" t="n">
        <x:f>SUMIFS('Session Data'!$J$2:$J$101,'Session Data'!$A$2:$A$101,$A21)</x:f>
        <x:v>16</x:v>
      </x:c>
      <x:c r="F21" s="17" t="n">
        <x:f>IFERROR(E21/B21,0)</x:f>
        <x:v>0.02</x:v>
      </x:c>
    </x:row>
    <x:row r="22">
      <x:c r="A22" s="29" t="d">
        <x:v>2026-09-07T00:00:00.000Z</x:v>
      </x:c>
      <x:c r="B22" s="18" t="n">
        <x:f>SUMIFS('Session Data'!$G$2:$G$101,'Session Data'!$A$2:$A$101,$A22)</x:f>
        <x:v>800</x:v>
      </x:c>
      <x:c r="C22" s="18" t="n">
        <x:f>SUMIFS('Session Data'!$H$2:$H$101,'Session Data'!$A$2:$A$101,$A22)</x:f>
        <x:v>368</x:v>
      </x:c>
      <x:c r="D22" s="18" t="n">
        <x:f>SUMIFS('Session Data'!$I$2:$I$101,'Session Data'!$A$2:$A$101,$A22)</x:f>
        <x:v>66</x:v>
      </x:c>
      <x:c r="E22" s="18" t="n">
        <x:f>SUMIFS('Session Data'!$J$2:$J$101,'Session Data'!$A$2:$A$101,$A22)</x:f>
        <x:v>18</x:v>
      </x:c>
      <x:c r="F22" s="17" t="n">
        <x:f>IFERROR(E22/B22,0)</x:f>
        <x:v>0.0225</x:v>
      </x:c>
    </x:row>
    <x:row r="23">
      <x:c r="A23" s="29" t="d">
        <x:v>2026-09-14T00:00:00.000Z</x:v>
      </x:c>
      <x:c r="B23" s="18" t="n">
        <x:f>SUMIFS('Session Data'!$G$2:$G$101,'Session Data'!$A$2:$A$101,$A23)</x:f>
        <x:v>800</x:v>
      </x:c>
      <x:c r="C23" s="18" t="n">
        <x:f>SUMIFS('Session Data'!$H$2:$H$101,'Session Data'!$A$2:$A$101,$A23)</x:f>
        <x:v>384</x:v>
      </x:c>
      <x:c r="D23" s="18" t="n">
        <x:f>SUMIFS('Session Data'!$I$2:$I$101,'Session Data'!$A$2:$A$101,$A23)</x:f>
        <x:v>75</x:v>
      </x:c>
      <x:c r="E23" s="18" t="n">
        <x:f>SUMIFS('Session Data'!$J$2:$J$101,'Session Data'!$A$2:$A$101,$A23)</x:f>
        <x:v>22</x:v>
      </x:c>
      <x:c r="F23" s="17" t="n">
        <x:f>IFERROR(E23/B23,0)</x:f>
        <x:v>0.0275</x:v>
      </x:c>
    </x:row>
    <x:row r="24">
      <x:c r="A24" s="29" t="d">
        <x:v>2026-09-21T00:00:00.000Z</x:v>
      </x:c>
      <x:c r="B24" s="18" t="n">
        <x:f>SUMIFS('Session Data'!$G$2:$G$101,'Session Data'!$A$2:$A$101,$A24)</x:f>
        <x:v>800</x:v>
      </x:c>
      <x:c r="C24" s="18" t="n">
        <x:f>SUMIFS('Session Data'!$H$2:$H$101,'Session Data'!$A$2:$A$101,$A24)</x:f>
        <x:v>342</x:v>
      </x:c>
      <x:c r="D24" s="18" t="n">
        <x:f>SUMIFS('Session Data'!$I$2:$I$101,'Session Data'!$A$2:$A$101,$A24)</x:f>
        <x:v>69</x:v>
      </x:c>
      <x:c r="E24" s="18" t="n">
        <x:f>SUMIFS('Session Data'!$J$2:$J$101,'Session Data'!$A$2:$A$101,$A24)</x:f>
        <x:v>22</x:v>
      </x:c>
      <x:c r="F24" s="17" t="n">
        <x:f>IFERROR(E24/B24,0)</x:f>
        <x:v>0.0275</x:v>
      </x:c>
    </x:row>
    <x:row r="25">
      <x:c r="A25" s="29" t="d">
        <x:v>2026-09-28T00:00:00.000Z</x:v>
      </x:c>
      <x:c r="B25" s="18" t="n">
        <x:f>SUMIFS('Session Data'!$G$2:$G$101,'Session Data'!$A$2:$A$101,$A25)</x:f>
        <x:v>800</x:v>
      </x:c>
      <x:c r="C25" s="18" t="n">
        <x:f>SUMIFS('Session Data'!$H$2:$H$101,'Session Data'!$A$2:$A$101,$A25)</x:f>
        <x:v>376</x:v>
      </x:c>
      <x:c r="D25" s="18" t="n">
        <x:f>SUMIFS('Session Data'!$I$2:$I$101,'Session Data'!$A$2:$A$101,$A25)</x:f>
        <x:v>62</x:v>
      </x:c>
      <x:c r="E25" s="18" t="n">
        <x:f>SUMIFS('Session Data'!$J$2:$J$101,'Session Data'!$A$2:$A$101,$A25)</x:f>
        <x:v>21</x:v>
      </x:c>
      <x:c r="F25" s="17" t="n">
        <x:f>IFERROR(E25/B25,0)</x:f>
        <x:v>0.02625</x:v>
      </x:c>
    </x:row>
    <x:row r="26">
      <x:c r="A26" s="29" t="d">
        <x:v>2026-10-05T00:00:00.000Z</x:v>
      </x:c>
      <x:c r="B26" s="18" t="n">
        <x:f>SUMIFS('Session Data'!$G$2:$G$101,'Session Data'!$A$2:$A$101,$A26)</x:f>
        <x:v>800</x:v>
      </x:c>
      <x:c r="C26" s="18" t="n">
        <x:f>SUMIFS('Session Data'!$H$2:$H$101,'Session Data'!$A$2:$A$101,$A26)</x:f>
        <x:v>363</x:v>
      </x:c>
      <x:c r="D26" s="18" t="n">
        <x:f>SUMIFS('Session Data'!$I$2:$I$101,'Session Data'!$A$2:$A$101,$A26)</x:f>
        <x:v>76</x:v>
      </x:c>
      <x:c r="E26" s="18" t="n">
        <x:f>SUMIFS('Session Data'!$J$2:$J$101,'Session Data'!$A$2:$A$101,$A26)</x:f>
        <x:v>26</x:v>
      </x:c>
      <x:c r="F26" s="17" t="n">
        <x:f>IFERROR(E26/B26,0)</x:f>
        <x:v>0.0325</x:v>
      </x:c>
    </x:row>
    <x:row r="27">
      <x:c r="A27" s="29" t="d">
        <x:v>2026-10-12T00:00:00.000Z</x:v>
      </x:c>
      <x:c r="B27" s="18" t="n">
        <x:f>SUMIFS('Session Data'!$G$2:$G$101,'Session Data'!$A$2:$A$101,$A27)</x:f>
        <x:v>800</x:v>
      </x:c>
      <x:c r="C27" s="18" t="n">
        <x:f>SUMIFS('Session Data'!$H$2:$H$101,'Session Data'!$A$2:$A$101,$A27)</x:f>
        <x:v>366</x:v>
      </x:c>
      <x:c r="D27" s="18" t="n">
        <x:f>SUMIFS('Session Data'!$I$2:$I$101,'Session Data'!$A$2:$A$101,$A27)</x:f>
        <x:v>57</x:v>
      </x:c>
      <x:c r="E27" s="18" t="n">
        <x:f>SUMIFS('Session Data'!$J$2:$J$101,'Session Data'!$A$2:$A$101,$A27)</x:f>
        <x:v>21</x:v>
      </x:c>
      <x:c r="F27" s="17" t="n">
        <x:f>IFERROR(E27/B27,0)</x:f>
        <x:v>0.02625</x:v>
      </x:c>
    </x:row>
    <x:row r="30" ht="38" customHeight="1">
      <x:c r="A30" s="31" t="str">
        <x:v>INTERPRETATION  /  Segment differences identify where to investigate, not what caused the difference. Check acquisition intent, landing-page promise, device friction, event integrity, and attribution before recommending a change.</x:v>
      </x:c>
      <x:c r="B30" s="31"/>
      <x:c r="C30" s="31"/>
      <x:c r="D30" s="31"/>
      <x:c r="E30" s="31"/>
      <x:c r="F30" s="31"/>
      <x:c r="G30" s="31"/>
      <x:c r="H30" s="31"/>
      <x:c r="I30" s="31"/>
      <x:c r="J30" s="31"/>
      <x:c r="K30" s="31"/>
      <x:c r="L30" s="31"/>
      <x:c r="M30" s="31"/>
      <x:c r="N30" s="31"/>
    </x:row>
    <x:row r="32" ht="36" customHeight="1">
      <x:c r="A32" s="33" t="str">
        <x:v>Synthetic dataset only. Stage counts are sessions reaching each event in order; a session can reach multiple stages but is counted once per stage. Funnel rate denominator is the prior stage. Revenue is simulated first-order revenue only.</x:v>
      </x:c>
      <x:c r="B32" s="33"/>
      <x:c r="C32" s="33"/>
      <x:c r="D32" s="33"/>
      <x:c r="E32" s="33"/>
      <x:c r="F32" s="33"/>
      <x:c r="G32" s="33"/>
      <x:c r="H32" s="33"/>
      <x:c r="I32" s="33"/>
      <x:c r="J32" s="33"/>
      <x:c r="K32" s="33"/>
      <x:c r="L32" s="33"/>
      <x:c r="M32" s="33"/>
      <x:c r="N32" s="33"/>
    </x:row>
  </x:sheetData>
  <x:mergeCells>
    <x:mergeCell ref="A1:J1"/>
    <x:mergeCell ref="A2:J2"/>
    <x:mergeCell ref="A8:F8"/>
    <x:mergeCell ref="H8:N8"/>
    <x:mergeCell ref="H16:N16"/>
    <x:mergeCell ref="A16:F16"/>
    <x:mergeCell ref="A30:N30"/>
    <x:mergeCell ref="A32:N32"/>
  </x:mergeCells>
  <x:pageMargins left="0.7" right="0.7" top="0.75" bottom="0.75" header="0.3" footer="0.3"/>
</x:worksheet>
</file>

<file path=xl/worksheets/sheet2.xml><?xml version="1.0" encoding="utf-8"?>
<x:worksheet xmlns:x="http://schemas.openxmlformats.org/spreadsheetml/2006/main">
  <x:sheetViews>
    <x:sheetView workbookViewId="0">
      <x:pane xSplit="2" ySplit="1" topLeftCell="C2" activePane="bottomRight" state="frozen"/>
    </x:sheetView>
  </x:sheetViews>
  <x:sheetFormatPr defaultRowHeight="15"/>
  <x:cols>
    <x:col min="1" max="1" width="16" hidden="0" customWidth="1"/>
    <x:col min="2" max="2" width="15" hidden="0" customWidth="1"/>
    <x:col min="3" max="3" width="23" hidden="0" customWidth="1"/>
    <x:col min="4" max="4" width="22" hidden="0" customWidth="1"/>
    <x:col min="5" max="5" width="18" hidden="0" customWidth="1"/>
    <x:col min="6" max="6" width="32" hidden="0" customWidth="1"/>
    <x:col min="7" max="7" width="14" hidden="0" customWidth="1"/>
    <x:col min="8" max="8" width="14" hidden="0" customWidth="1"/>
    <x:col min="9" max="9" width="16" hidden="0" customWidth="1"/>
    <x:col min="10" max="10" width="12" hidden="0" customWidth="1"/>
    <x:col min="11" max="11" width="17" hidden="0" customWidth="1"/>
  </x:cols>
  <x:sheetData>
    <x:row r="1" ht="36" customHeight="1">
      <x:c r="A1" s="35" t="str">
        <x:v>Week start</x:v>
      </x:c>
      <x:c r="B1" s="35" t="str">
        <x:v>Cohort ID</x:v>
      </x:c>
      <x:c r="C1" s="35" t="str">
        <x:v>Source / medium</x:v>
      </x:c>
      <x:c r="D1" s="35" t="str">
        <x:v>Default channel group</x:v>
      </x:c>
      <x:c r="E1" s="35" t="str">
        <x:v>Device category</x:v>
      </x:c>
      <x:c r="F1" s="35" t="str">
        <x:v>Landing page</x:v>
      </x:c>
      <x:c r="G1" s="35" t="str">
        <x:v>Sessions</x:v>
      </x:c>
      <x:c r="H1" s="35" t="str">
        <x:v>Product view sessions</x:v>
      </x:c>
      <x:c r="I1" s="35" t="str">
        <x:v>Checkout starts</x:v>
      </x:c>
      <x:c r="J1" s="35" t="str">
        <x:v>Purchase sessions</x:v>
      </x:c>
      <x:c r="K1" s="35" t="str">
        <x:v>Revenue (USD)</x:v>
      </x:c>
    </x:row>
    <x:row r="2">
      <x:c r="A2" s="42" t="d">
        <x:v>2026-08-10T00:00:00.000Z</x:v>
      </x:c>
      <x:c r="B2" s="43" t="str">
        <x:v>W01-0-0</x:v>
      </x:c>
      <x:c r="C2" s="43" t="str">
        <x:v>google / organic</x:v>
      </x:c>
      <x:c r="D2" s="43" t="str">
        <x:v>Organic Search</x:v>
      </x:c>
      <x:c r="E2" s="43" t="str">
        <x:v>Mobile</x:v>
      </x:c>
      <x:c r="F2" s="43" t="str">
        <x:v>/collections/single-origin</x:v>
      </x:c>
      <x:c r="G2" s="44" t="n">
        <x:v>80</x:v>
      </x:c>
      <x:c r="H2" s="44" t="n">
        <x:v>34</x:v>
      </x:c>
      <x:c r="I2" s="44" t="n">
        <x:v>7</x:v>
      </x:c>
      <x:c r="J2" s="44" t="n">
        <x:v>1</x:v>
      </x:c>
      <x:c r="K2" s="45" t="n">
        <x:v>38</x:v>
      </x:c>
    </x:row>
    <x:row r="3">
      <x:c r="A3" s="42" t="d">
        <x:v>2026-08-10T00:00:00.000Z</x:v>
      </x:c>
      <x:c r="B3" s="43" t="str">
        <x:v>W01-0-1</x:v>
      </x:c>
      <x:c r="C3" s="43" t="str">
        <x:v>google / organic</x:v>
      </x:c>
      <x:c r="D3" s="43" t="str">
        <x:v>Organic Search</x:v>
      </x:c>
      <x:c r="E3" s="43" t="str">
        <x:v>Desktop</x:v>
      </x:c>
      <x:c r="F3" s="43" t="str">
        <x:v>/collections/single-origin</x:v>
      </x:c>
      <x:c r="G3" s="44" t="n">
        <x:v>80</x:v>
      </x:c>
      <x:c r="H3" s="44" t="n">
        <x:v>47</x:v>
      </x:c>
      <x:c r="I3" s="44" t="n">
        <x:v>12</x:v>
      </x:c>
      <x:c r="J3" s="44" t="n">
        <x:v>4</x:v>
      </x:c>
      <x:c r="K3" s="45" t="n">
        <x:v>156</x:v>
      </x:c>
    </x:row>
    <x:row r="4">
      <x:c r="A4" s="42" t="d">
        <x:v>2026-08-10T00:00:00.000Z</x:v>
      </x:c>
      <x:c r="B4" s="43" t="str">
        <x:v>W01-1-0</x:v>
      </x:c>
      <x:c r="C4" s="43" t="str">
        <x:v>google / cpc</x:v>
      </x:c>
      <x:c r="D4" s="43" t="str">
        <x:v>Paid Search</x:v>
      </x:c>
      <x:c r="E4" s="43" t="str">
        <x:v>Mobile</x:v>
      </x:c>
      <x:c r="F4" s="43" t="str">
        <x:v>/subscriptions</x:v>
      </x:c>
      <x:c r="G4" s="44" t="n">
        <x:v>80</x:v>
      </x:c>
      <x:c r="H4" s="44" t="n">
        <x:v>29</x:v>
      </x:c>
      <x:c r="I4" s="44" t="n">
        <x:v>4</x:v>
      </x:c>
      <x:c r="J4" s="44" t="n">
        <x:v>1</x:v>
      </x:c>
      <x:c r="K4" s="45" t="n">
        <x:v>34</x:v>
      </x:c>
    </x:row>
    <x:row r="5">
      <x:c r="A5" s="42" t="d">
        <x:v>2026-08-10T00:00:00.000Z</x:v>
      </x:c>
      <x:c r="B5" s="43" t="str">
        <x:v>W01-1-1</x:v>
      </x:c>
      <x:c r="C5" s="43" t="str">
        <x:v>google / cpc</x:v>
      </x:c>
      <x:c r="D5" s="43" t="str">
        <x:v>Paid Search</x:v>
      </x:c>
      <x:c r="E5" s="43" t="str">
        <x:v>Desktop</x:v>
      </x:c>
      <x:c r="F5" s="43" t="str">
        <x:v>/subscriptions</x:v>
      </x:c>
      <x:c r="G5" s="44" t="n">
        <x:v>80</x:v>
      </x:c>
      <x:c r="H5" s="44" t="n">
        <x:v>40</x:v>
      </x:c>
      <x:c r="I5" s="44" t="n">
        <x:v>3</x:v>
      </x:c>
      <x:c r="J5" s="44" t="n">
        <x:v>2</x:v>
      </x:c>
      <x:c r="K5" s="45" t="n">
        <x:v>90</x:v>
      </x:c>
    </x:row>
    <x:row r="6">
      <x:c r="A6" s="42" t="d">
        <x:v>2026-08-10T00:00:00.000Z</x:v>
      </x:c>
      <x:c r="B6" s="43" t="str">
        <x:v>W01-2-0</x:v>
      </x:c>
      <x:c r="C6" s="43" t="str">
        <x:v>instagram / organic</x:v>
      </x:c>
      <x:c r="D6" s="43" t="str">
        <x:v>Organic Social</x:v>
      </x:c>
      <x:c r="E6" s="43" t="str">
        <x:v>Mobile</x:v>
      </x:c>
      <x:c r="F6" s="43" t="str">
        <x:v>/learn/brew-guides</x:v>
      </x:c>
      <x:c r="G6" s="44" t="n">
        <x:v>80</x:v>
      </x:c>
      <x:c r="H6" s="44" t="n">
        <x:v>21</x:v>
      </x:c>
      <x:c r="I6" s="44" t="n">
        <x:v>1</x:v>
      </x:c>
      <x:c r="J6" s="44" t="n">
        <x:v>0</x:v>
      </x:c>
      <x:c r="K6" s="45" t="n">
        <x:v>0</x:v>
      </x:c>
    </x:row>
    <x:row r="7">
      <x:c r="A7" s="42" t="d">
        <x:v>2026-08-10T00:00:00.000Z</x:v>
      </x:c>
      <x:c r="B7" s="43" t="str">
        <x:v>W01-2-1</x:v>
      </x:c>
      <x:c r="C7" s="43" t="str">
        <x:v>instagram / organic</x:v>
      </x:c>
      <x:c r="D7" s="43" t="str">
        <x:v>Organic Social</x:v>
      </x:c>
      <x:c r="E7" s="43" t="str">
        <x:v>Desktop</x:v>
      </x:c>
      <x:c r="F7" s="43" t="str">
        <x:v>/learn/brew-guides</x:v>
      </x:c>
      <x:c r="G7" s="44" t="n">
        <x:v>80</x:v>
      </x:c>
      <x:c r="H7" s="44" t="n">
        <x:v>25</x:v>
      </x:c>
      <x:c r="I7" s="44" t="n">
        <x:v>3</x:v>
      </x:c>
      <x:c r="J7" s="44" t="n">
        <x:v>0</x:v>
      </x:c>
      <x:c r="K7" s="45" t="n">
        <x:v>0</x:v>
      </x:c>
    </x:row>
    <x:row r="8">
      <x:c r="A8" s="42" t="d">
        <x:v>2026-08-10T00:00:00.000Z</x:v>
      </x:c>
      <x:c r="B8" s="43" t="str">
        <x:v>W01-3-0</x:v>
      </x:c>
      <x:c r="C8" s="43" t="str">
        <x:v>newsletter / email</x:v>
      </x:c>
      <x:c r="D8" s="43" t="str">
        <x:v>Email</x:v>
      </x:c>
      <x:c r="E8" s="43" t="str">
        <x:v>Mobile</x:v>
      </x:c>
      <x:c r="F8" s="43" t="str">
        <x:v>/subscriptions</x:v>
      </x:c>
      <x:c r="G8" s="44" t="n">
        <x:v>80</x:v>
      </x:c>
      <x:c r="H8" s="44" t="n">
        <x:v>37</x:v>
      </x:c>
      <x:c r="I8" s="44" t="n">
        <x:v>4</x:v>
      </x:c>
      <x:c r="J8" s="44" t="n">
        <x:v>1</x:v>
      </x:c>
      <x:c r="K8" s="45" t="n">
        <x:v>52</x:v>
      </x:c>
    </x:row>
    <x:row r="9">
      <x:c r="A9" s="42" t="d">
        <x:v>2026-08-10T00:00:00.000Z</x:v>
      </x:c>
      <x:c r="B9" s="43" t="str">
        <x:v>W01-3-1</x:v>
      </x:c>
      <x:c r="C9" s="43" t="str">
        <x:v>newsletter / email</x:v>
      </x:c>
      <x:c r="D9" s="43" t="str">
        <x:v>Email</x:v>
      </x:c>
      <x:c r="E9" s="43" t="str">
        <x:v>Desktop</x:v>
      </x:c>
      <x:c r="F9" s="43" t="str">
        <x:v>/subscriptions</x:v>
      </x:c>
      <x:c r="G9" s="44" t="n">
        <x:v>80</x:v>
      </x:c>
      <x:c r="H9" s="44" t="n">
        <x:v>52</x:v>
      </x:c>
      <x:c r="I9" s="44" t="n">
        <x:v>12</x:v>
      </x:c>
      <x:c r="J9" s="44" t="n">
        <x:v>4</x:v>
      </x:c>
      <x:c r="K9" s="45" t="n">
        <x:v>149</x:v>
      </x:c>
    </x:row>
    <x:row r="10">
      <x:c r="A10" s="42" t="d">
        <x:v>2026-08-10T00:00:00.000Z</x:v>
      </x:c>
      <x:c r="B10" s="43" t="str">
        <x:v>W01-4-0</x:v>
      </x:c>
      <x:c r="C10" s="43" t="str">
        <x:v>(direct) / (none)</x:v>
      </x:c>
      <x:c r="D10" s="43" t="str">
        <x:v>Direct</x:v>
      </x:c>
      <x:c r="E10" s="43" t="str">
        <x:v>Mobile</x:v>
      </x:c>
      <x:c r="F10" s="43" t="str">
        <x:v>/</x:v>
      </x:c>
      <x:c r="G10" s="44" t="n">
        <x:v>80</x:v>
      </x:c>
      <x:c r="H10" s="44" t="n">
        <x:v>36</x:v>
      </x:c>
      <x:c r="I10" s="44" t="n">
        <x:v>7</x:v>
      </x:c>
      <x:c r="J10" s="44" t="n">
        <x:v>1</x:v>
      </x:c>
      <x:c r="K10" s="45" t="n">
        <x:v>38</x:v>
      </x:c>
    </x:row>
    <x:row r="11">
      <x:c r="A11" s="42" t="d">
        <x:v>2026-08-10T00:00:00.000Z</x:v>
      </x:c>
      <x:c r="B11" s="43" t="str">
        <x:v>W01-4-1</x:v>
      </x:c>
      <x:c r="C11" s="43" t="str">
        <x:v>(direct) / (none)</x:v>
      </x:c>
      <x:c r="D11" s="43" t="str">
        <x:v>Direct</x:v>
      </x:c>
      <x:c r="E11" s="43" t="str">
        <x:v>Desktop</x:v>
      </x:c>
      <x:c r="F11" s="43" t="str">
        <x:v>/</x:v>
      </x:c>
      <x:c r="G11" s="44" t="n">
        <x:v>80</x:v>
      </x:c>
      <x:c r="H11" s="44" t="n">
        <x:v>36</x:v>
      </x:c>
      <x:c r="I11" s="44" t="n">
        <x:v>10</x:v>
      </x:c>
      <x:c r="J11" s="44" t="n">
        <x:v>4</x:v>
      </x:c>
      <x:c r="K11" s="45" t="n">
        <x:v>169</x:v>
      </x:c>
    </x:row>
    <x:row r="12">
      <x:c r="A12" s="42" t="d">
        <x:v>2026-08-17T00:00:00.000Z</x:v>
      </x:c>
      <x:c r="B12" s="43" t="str">
        <x:v>W02-0-0</x:v>
      </x:c>
      <x:c r="C12" s="43" t="str">
        <x:v>google / organic</x:v>
      </x:c>
      <x:c r="D12" s="43" t="str">
        <x:v>Organic Search</x:v>
      </x:c>
      <x:c r="E12" s="43" t="str">
        <x:v>Mobile</x:v>
      </x:c>
      <x:c r="F12" s="43" t="str">
        <x:v>/collections/single-origin</x:v>
      </x:c>
      <x:c r="G12" s="44" t="n">
        <x:v>80</x:v>
      </x:c>
      <x:c r="H12" s="44" t="n">
        <x:v>43</x:v>
      </x:c>
      <x:c r="I12" s="44" t="n">
        <x:v>9</x:v>
      </x:c>
      <x:c r="J12" s="44" t="n">
        <x:v>2</x:v>
      </x:c>
      <x:c r="K12" s="45" t="n">
        <x:v>83</x:v>
      </x:c>
    </x:row>
    <x:row r="13">
      <x:c r="A13" s="42" t="d">
        <x:v>2026-08-17T00:00:00.000Z</x:v>
      </x:c>
      <x:c r="B13" s="43" t="str">
        <x:v>W02-0-1</x:v>
      </x:c>
      <x:c r="C13" s="43" t="str">
        <x:v>google / organic</x:v>
      </x:c>
      <x:c r="D13" s="43" t="str">
        <x:v>Organic Search</x:v>
      </x:c>
      <x:c r="E13" s="43" t="str">
        <x:v>Desktop</x:v>
      </x:c>
      <x:c r="F13" s="43" t="str">
        <x:v>/collections/single-origin</x:v>
      </x:c>
      <x:c r="G13" s="44" t="n">
        <x:v>80</x:v>
      </x:c>
      <x:c r="H13" s="44" t="n">
        <x:v>52</x:v>
      </x:c>
      <x:c r="I13" s="44" t="n">
        <x:v>12</x:v>
      </x:c>
      <x:c r="J13" s="44" t="n">
        <x:v>4</x:v>
      </x:c>
      <x:c r="K13" s="45" t="n">
        <x:v>183</x:v>
      </x:c>
    </x:row>
    <x:row r="14">
      <x:c r="A14" s="42" t="d">
        <x:v>2026-08-17T00:00:00.000Z</x:v>
      </x:c>
      <x:c r="B14" s="43" t="str">
        <x:v>W02-1-0</x:v>
      </x:c>
      <x:c r="C14" s="43" t="str">
        <x:v>google / cpc</x:v>
      </x:c>
      <x:c r="D14" s="43" t="str">
        <x:v>Paid Search</x:v>
      </x:c>
      <x:c r="E14" s="43" t="str">
        <x:v>Mobile</x:v>
      </x:c>
      <x:c r="F14" s="43" t="str">
        <x:v>/subscriptions</x:v>
      </x:c>
      <x:c r="G14" s="44" t="n">
        <x:v>80</x:v>
      </x:c>
      <x:c r="H14" s="44" t="n">
        <x:v>23</x:v>
      </x:c>
      <x:c r="I14" s="44" t="n">
        <x:v>2</x:v>
      </x:c>
      <x:c r="J14" s="44" t="n">
        <x:v>0</x:v>
      </x:c>
      <x:c r="K14" s="45" t="n">
        <x:v>0</x:v>
      </x:c>
    </x:row>
    <x:row r="15">
      <x:c r="A15" s="42" t="d">
        <x:v>2026-08-17T00:00:00.000Z</x:v>
      </x:c>
      <x:c r="B15" s="43" t="str">
        <x:v>W02-1-1</x:v>
      </x:c>
      <x:c r="C15" s="43" t="str">
        <x:v>google / cpc</x:v>
      </x:c>
      <x:c r="D15" s="43" t="str">
        <x:v>Paid Search</x:v>
      </x:c>
      <x:c r="E15" s="43" t="str">
        <x:v>Desktop</x:v>
      </x:c>
      <x:c r="F15" s="43" t="str">
        <x:v>/subscriptions</x:v>
      </x:c>
      <x:c r="G15" s="44" t="n">
        <x:v>80</x:v>
      </x:c>
      <x:c r="H15" s="44" t="n">
        <x:v>36</x:v>
      </x:c>
      <x:c r="I15" s="44" t="n">
        <x:v>1</x:v>
      </x:c>
      <x:c r="J15" s="44" t="n">
        <x:v>0</x:v>
      </x:c>
      <x:c r="K15" s="45" t="n">
        <x:v>0</x:v>
      </x:c>
    </x:row>
    <x:row r="16">
      <x:c r="A16" s="42" t="d">
        <x:v>2026-08-17T00:00:00.000Z</x:v>
      </x:c>
      <x:c r="B16" s="43" t="str">
        <x:v>W02-2-0</x:v>
      </x:c>
      <x:c r="C16" s="43" t="str">
        <x:v>instagram / organic</x:v>
      </x:c>
      <x:c r="D16" s="43" t="str">
        <x:v>Organic Social</x:v>
      </x:c>
      <x:c r="E16" s="43" t="str">
        <x:v>Mobile</x:v>
      </x:c>
      <x:c r="F16" s="43" t="str">
        <x:v>/learn/brew-guides</x:v>
      </x:c>
      <x:c r="G16" s="44" t="n">
        <x:v>80</x:v>
      </x:c>
      <x:c r="H16" s="44" t="n">
        <x:v>16</x:v>
      </x:c>
      <x:c r="I16" s="44" t="n">
        <x:v>2</x:v>
      </x:c>
      <x:c r="J16" s="44" t="n">
        <x:v>0</x:v>
      </x:c>
      <x:c r="K16" s="45" t="n">
        <x:v>0</x:v>
      </x:c>
    </x:row>
    <x:row r="17">
      <x:c r="A17" s="42" t="d">
        <x:v>2026-08-17T00:00:00.000Z</x:v>
      </x:c>
      <x:c r="B17" s="43" t="str">
        <x:v>W02-2-1</x:v>
      </x:c>
      <x:c r="C17" s="43" t="str">
        <x:v>instagram / organic</x:v>
      </x:c>
      <x:c r="D17" s="43" t="str">
        <x:v>Organic Social</x:v>
      </x:c>
      <x:c r="E17" s="43" t="str">
        <x:v>Desktop</x:v>
      </x:c>
      <x:c r="F17" s="43" t="str">
        <x:v>/learn/brew-guides</x:v>
      </x:c>
      <x:c r="G17" s="44" t="n">
        <x:v>80</x:v>
      </x:c>
      <x:c r="H17" s="44" t="n">
        <x:v>33</x:v>
      </x:c>
      <x:c r="I17" s="44" t="n">
        <x:v>8</x:v>
      </x:c>
      <x:c r="J17" s="44" t="n">
        <x:v>3</x:v>
      </x:c>
      <x:c r="K17" s="45" t="n">
        <x:v>117</x:v>
      </x:c>
    </x:row>
    <x:row r="18">
      <x:c r="A18" s="42" t="d">
        <x:v>2026-08-17T00:00:00.000Z</x:v>
      </x:c>
      <x:c r="B18" s="43" t="str">
        <x:v>W02-3-0</x:v>
      </x:c>
      <x:c r="C18" s="43" t="str">
        <x:v>newsletter / email</x:v>
      </x:c>
      <x:c r="D18" s="43" t="str">
        <x:v>Email</x:v>
      </x:c>
      <x:c r="E18" s="43" t="str">
        <x:v>Mobile</x:v>
      </x:c>
      <x:c r="F18" s="43" t="str">
        <x:v>/subscriptions</x:v>
      </x:c>
      <x:c r="G18" s="44" t="n">
        <x:v>80</x:v>
      </x:c>
      <x:c r="H18" s="44" t="n">
        <x:v>32</x:v>
      </x:c>
      <x:c r="I18" s="44" t="n">
        <x:v>7</x:v>
      </x:c>
      <x:c r="J18" s="44" t="n">
        <x:v>2</x:v>
      </x:c>
      <x:c r="K18" s="45" t="n">
        <x:v>76</x:v>
      </x:c>
    </x:row>
    <x:row r="19">
      <x:c r="A19" s="42" t="d">
        <x:v>2026-08-17T00:00:00.000Z</x:v>
      </x:c>
      <x:c r="B19" s="43" t="str">
        <x:v>W02-3-1</x:v>
      </x:c>
      <x:c r="C19" s="43" t="str">
        <x:v>newsletter / email</x:v>
      </x:c>
      <x:c r="D19" s="43" t="str">
        <x:v>Email</x:v>
      </x:c>
      <x:c r="E19" s="43" t="str">
        <x:v>Desktop</x:v>
      </x:c>
      <x:c r="F19" s="43" t="str">
        <x:v>/subscriptions</x:v>
      </x:c>
      <x:c r="G19" s="44" t="n">
        <x:v>80</x:v>
      </x:c>
      <x:c r="H19" s="44" t="n">
        <x:v>48</x:v>
      </x:c>
      <x:c r="I19" s="44" t="n">
        <x:v>12</x:v>
      </x:c>
      <x:c r="J19" s="44" t="n">
        <x:v>4</x:v>
      </x:c>
      <x:c r="K19" s="45" t="n">
        <x:v>187</x:v>
      </x:c>
    </x:row>
    <x:row r="20">
      <x:c r="A20" s="42" t="d">
        <x:v>2026-08-17T00:00:00.000Z</x:v>
      </x:c>
      <x:c r="B20" s="43" t="str">
        <x:v>W02-4-0</x:v>
      </x:c>
      <x:c r="C20" s="43" t="str">
        <x:v>(direct) / (none)</x:v>
      </x:c>
      <x:c r="D20" s="43" t="str">
        <x:v>Direct</x:v>
      </x:c>
      <x:c r="E20" s="43" t="str">
        <x:v>Mobile</x:v>
      </x:c>
      <x:c r="F20" s="43" t="str">
        <x:v>/</x:v>
      </x:c>
      <x:c r="G20" s="44" t="n">
        <x:v>80</x:v>
      </x:c>
      <x:c r="H20" s="44" t="n">
        <x:v>32</x:v>
      </x:c>
      <x:c r="I20" s="44" t="n">
        <x:v>4</x:v>
      </x:c>
      <x:c r="J20" s="44" t="n">
        <x:v>0</x:v>
      </x:c>
      <x:c r="K20" s="45" t="n">
        <x:v>0</x:v>
      </x:c>
    </x:row>
    <x:row r="21">
      <x:c r="A21" s="42" t="d">
        <x:v>2026-08-17T00:00:00.000Z</x:v>
      </x:c>
      <x:c r="B21" s="43" t="str">
        <x:v>W02-4-1</x:v>
      </x:c>
      <x:c r="C21" s="43" t="str">
        <x:v>(direct) / (none)</x:v>
      </x:c>
      <x:c r="D21" s="43" t="str">
        <x:v>Direct</x:v>
      </x:c>
      <x:c r="E21" s="43" t="str">
        <x:v>Desktop</x:v>
      </x:c>
      <x:c r="F21" s="43" t="str">
        <x:v>/</x:v>
      </x:c>
      <x:c r="G21" s="44" t="n">
        <x:v>80</x:v>
      </x:c>
      <x:c r="H21" s="44" t="n">
        <x:v>45</x:v>
      </x:c>
      <x:c r="I21" s="44" t="n">
        <x:v>7</x:v>
      </x:c>
      <x:c r="J21" s="44" t="n">
        <x:v>2</x:v>
      </x:c>
      <x:c r="K21" s="45" t="n">
        <x:v>97</x:v>
      </x:c>
    </x:row>
    <x:row r="22">
      <x:c r="A22" s="42" t="d">
        <x:v>2026-08-24T00:00:00.000Z</x:v>
      </x:c>
      <x:c r="B22" s="43" t="str">
        <x:v>W03-0-0</x:v>
      </x:c>
      <x:c r="C22" s="43" t="str">
        <x:v>google / organic</x:v>
      </x:c>
      <x:c r="D22" s="43" t="str">
        <x:v>Organic Search</x:v>
      </x:c>
      <x:c r="E22" s="43" t="str">
        <x:v>Mobile</x:v>
      </x:c>
      <x:c r="F22" s="43" t="str">
        <x:v>/collections/single-origin</x:v>
      </x:c>
      <x:c r="G22" s="44" t="n">
        <x:v>80</x:v>
      </x:c>
      <x:c r="H22" s="44" t="n">
        <x:v>43</x:v>
      </x:c>
      <x:c r="I22" s="44" t="n">
        <x:v>6</x:v>
      </x:c>
      <x:c r="J22" s="44" t="n">
        <x:v>1</x:v>
      </x:c>
      <x:c r="K22" s="45" t="n">
        <x:v>39</x:v>
      </x:c>
    </x:row>
    <x:row r="23">
      <x:c r="A23" s="42" t="d">
        <x:v>2026-08-24T00:00:00.000Z</x:v>
      </x:c>
      <x:c r="B23" s="43" t="str">
        <x:v>W03-0-1</x:v>
      </x:c>
      <x:c r="C23" s="43" t="str">
        <x:v>google / organic</x:v>
      </x:c>
      <x:c r="D23" s="43" t="str">
        <x:v>Organic Search</x:v>
      </x:c>
      <x:c r="E23" s="43" t="str">
        <x:v>Desktop</x:v>
      </x:c>
      <x:c r="F23" s="43" t="str">
        <x:v>/collections/single-origin</x:v>
      </x:c>
      <x:c r="G23" s="44" t="n">
        <x:v>80</x:v>
      </x:c>
      <x:c r="H23" s="44" t="n">
        <x:v>43</x:v>
      </x:c>
      <x:c r="I23" s="44" t="n">
        <x:v>7</x:v>
      </x:c>
      <x:c r="J23" s="44" t="n">
        <x:v>3</x:v>
      </x:c>
      <x:c r="K23" s="45" t="n">
        <x:v>115</x:v>
      </x:c>
    </x:row>
    <x:row r="24">
      <x:c r="A24" s="42" t="d">
        <x:v>2026-08-24T00:00:00.000Z</x:v>
      </x:c>
      <x:c r="B24" s="43" t="str">
        <x:v>W03-1-0</x:v>
      </x:c>
      <x:c r="C24" s="43" t="str">
        <x:v>google / cpc</x:v>
      </x:c>
      <x:c r="D24" s="43" t="str">
        <x:v>Paid Search</x:v>
      </x:c>
      <x:c r="E24" s="43" t="str">
        <x:v>Mobile</x:v>
      </x:c>
      <x:c r="F24" s="43" t="str">
        <x:v>/subscriptions</x:v>
      </x:c>
      <x:c r="G24" s="44" t="n">
        <x:v>80</x:v>
      </x:c>
      <x:c r="H24" s="44" t="n">
        <x:v>27</x:v>
      </x:c>
      <x:c r="I24" s="44" t="n">
        <x:v>3</x:v>
      </x:c>
      <x:c r="J24" s="44" t="n">
        <x:v>0</x:v>
      </x:c>
      <x:c r="K24" s="45" t="n">
        <x:v>0</x:v>
      </x:c>
    </x:row>
    <x:row r="25">
      <x:c r="A25" s="42" t="d">
        <x:v>2026-08-24T00:00:00.000Z</x:v>
      </x:c>
      <x:c r="B25" s="43" t="str">
        <x:v>W03-1-1</x:v>
      </x:c>
      <x:c r="C25" s="43" t="str">
        <x:v>google / cpc</x:v>
      </x:c>
      <x:c r="D25" s="43" t="str">
        <x:v>Paid Search</x:v>
      </x:c>
      <x:c r="E25" s="43" t="str">
        <x:v>Desktop</x:v>
      </x:c>
      <x:c r="F25" s="43" t="str">
        <x:v>/subscriptions</x:v>
      </x:c>
      <x:c r="G25" s="44" t="n">
        <x:v>80</x:v>
      </x:c>
      <x:c r="H25" s="44" t="n">
        <x:v>37</x:v>
      </x:c>
      <x:c r="I25" s="44" t="n">
        <x:v>6</x:v>
      </x:c>
      <x:c r="J25" s="44" t="n">
        <x:v>2</x:v>
      </x:c>
      <x:c r="K25" s="45" t="n">
        <x:v>104</x:v>
      </x:c>
    </x:row>
    <x:row r="26">
      <x:c r="A26" s="42" t="d">
        <x:v>2026-08-24T00:00:00.000Z</x:v>
      </x:c>
      <x:c r="B26" s="43" t="str">
        <x:v>W03-2-0</x:v>
      </x:c>
      <x:c r="C26" s="43" t="str">
        <x:v>instagram / organic</x:v>
      </x:c>
      <x:c r="D26" s="43" t="str">
        <x:v>Organic Social</x:v>
      </x:c>
      <x:c r="E26" s="43" t="str">
        <x:v>Mobile</x:v>
      </x:c>
      <x:c r="F26" s="43" t="str">
        <x:v>/learn/brew-guides</x:v>
      </x:c>
      <x:c r="G26" s="44" t="n">
        <x:v>80</x:v>
      </x:c>
      <x:c r="H26" s="44" t="n">
        <x:v>19</x:v>
      </x:c>
      <x:c r="I26" s="44" t="n">
        <x:v>0</x:v>
      </x:c>
      <x:c r="J26" s="44" t="n">
        <x:v>0</x:v>
      </x:c>
      <x:c r="K26" s="45" t="n">
        <x:v>0</x:v>
      </x:c>
    </x:row>
    <x:row r="27">
      <x:c r="A27" s="42" t="d">
        <x:v>2026-08-24T00:00:00.000Z</x:v>
      </x:c>
      <x:c r="B27" s="43" t="str">
        <x:v>W03-2-1</x:v>
      </x:c>
      <x:c r="C27" s="43" t="str">
        <x:v>instagram / organic</x:v>
      </x:c>
      <x:c r="D27" s="43" t="str">
        <x:v>Organic Social</x:v>
      </x:c>
      <x:c r="E27" s="43" t="str">
        <x:v>Desktop</x:v>
      </x:c>
      <x:c r="F27" s="43" t="str">
        <x:v>/learn/brew-guides</x:v>
      </x:c>
      <x:c r="G27" s="44" t="n">
        <x:v>80</x:v>
      </x:c>
      <x:c r="H27" s="44" t="n">
        <x:v>18</x:v>
      </x:c>
      <x:c r="I27" s="44" t="n">
        <x:v>2</x:v>
      </x:c>
      <x:c r="J27" s="44" t="n">
        <x:v>0</x:v>
      </x:c>
      <x:c r="K27" s="45" t="n">
        <x:v>0</x:v>
      </x:c>
    </x:row>
    <x:row r="28">
      <x:c r="A28" s="42" t="d">
        <x:v>2026-08-24T00:00:00.000Z</x:v>
      </x:c>
      <x:c r="B28" s="43" t="str">
        <x:v>W03-3-0</x:v>
      </x:c>
      <x:c r="C28" s="43" t="str">
        <x:v>newsletter / email</x:v>
      </x:c>
      <x:c r="D28" s="43" t="str">
        <x:v>Email</x:v>
      </x:c>
      <x:c r="E28" s="43" t="str">
        <x:v>Mobile</x:v>
      </x:c>
      <x:c r="F28" s="43" t="str">
        <x:v>/subscriptions</x:v>
      </x:c>
      <x:c r="G28" s="44" t="n">
        <x:v>80</x:v>
      </x:c>
      <x:c r="H28" s="44" t="n">
        <x:v>35</x:v>
      </x:c>
      <x:c r="I28" s="44" t="n">
        <x:v>8</x:v>
      </x:c>
      <x:c r="J28" s="44" t="n">
        <x:v>1</x:v>
      </x:c>
      <x:c r="K28" s="45" t="n">
        <x:v>39</x:v>
      </x:c>
    </x:row>
    <x:row r="29">
      <x:c r="A29" s="42" t="d">
        <x:v>2026-08-24T00:00:00.000Z</x:v>
      </x:c>
      <x:c r="B29" s="43" t="str">
        <x:v>W03-3-1</x:v>
      </x:c>
      <x:c r="C29" s="43" t="str">
        <x:v>newsletter / email</x:v>
      </x:c>
      <x:c r="D29" s="43" t="str">
        <x:v>Email</x:v>
      </x:c>
      <x:c r="E29" s="43" t="str">
        <x:v>Desktop</x:v>
      </x:c>
      <x:c r="F29" s="43" t="str">
        <x:v>/subscriptions</x:v>
      </x:c>
      <x:c r="G29" s="44" t="n">
        <x:v>80</x:v>
      </x:c>
      <x:c r="H29" s="44" t="n">
        <x:v>44</x:v>
      </x:c>
      <x:c r="I29" s="44" t="n">
        <x:v>12</x:v>
      </x:c>
      <x:c r="J29" s="44" t="n">
        <x:v>5</x:v>
      </x:c>
      <x:c r="K29" s="45" t="n">
        <x:v>179</x:v>
      </x:c>
    </x:row>
    <x:row r="30">
      <x:c r="A30" s="42" t="d">
        <x:v>2026-08-24T00:00:00.000Z</x:v>
      </x:c>
      <x:c r="B30" s="43" t="str">
        <x:v>W03-4-0</x:v>
      </x:c>
      <x:c r="C30" s="43" t="str">
        <x:v>(direct) / (none)</x:v>
      </x:c>
      <x:c r="D30" s="43" t="str">
        <x:v>Direct</x:v>
      </x:c>
      <x:c r="E30" s="43" t="str">
        <x:v>Mobile</x:v>
      </x:c>
      <x:c r="F30" s="43" t="str">
        <x:v>/</x:v>
      </x:c>
      <x:c r="G30" s="44" t="n">
        <x:v>80</x:v>
      </x:c>
      <x:c r="H30" s="44" t="n">
        <x:v>28</x:v>
      </x:c>
      <x:c r="I30" s="44" t="n">
        <x:v>3</x:v>
      </x:c>
      <x:c r="J30" s="44" t="n">
        <x:v>1</x:v>
      </x:c>
      <x:c r="K30" s="45" t="n">
        <x:v>38</x:v>
      </x:c>
    </x:row>
    <x:row r="31">
      <x:c r="A31" s="42" t="d">
        <x:v>2026-08-24T00:00:00.000Z</x:v>
      </x:c>
      <x:c r="B31" s="43" t="str">
        <x:v>W03-4-1</x:v>
      </x:c>
      <x:c r="C31" s="43" t="str">
        <x:v>(direct) / (none)</x:v>
      </x:c>
      <x:c r="D31" s="43" t="str">
        <x:v>Direct</x:v>
      </x:c>
      <x:c r="E31" s="43" t="str">
        <x:v>Desktop</x:v>
      </x:c>
      <x:c r="F31" s="43" t="str">
        <x:v>/</x:v>
      </x:c>
      <x:c r="G31" s="44" t="n">
        <x:v>80</x:v>
      </x:c>
      <x:c r="H31" s="44" t="n">
        <x:v>37</x:v>
      </x:c>
      <x:c r="I31" s="44" t="n">
        <x:v>7</x:v>
      </x:c>
      <x:c r="J31" s="44" t="n">
        <x:v>1</x:v>
      </x:c>
      <x:c r="K31" s="45" t="n">
        <x:v>45</x:v>
      </x:c>
    </x:row>
    <x:row r="32">
      <x:c r="A32" s="42" t="d">
        <x:v>2026-08-31T00:00:00.000Z</x:v>
      </x:c>
      <x:c r="B32" s="43" t="str">
        <x:v>W04-0-0</x:v>
      </x:c>
      <x:c r="C32" s="43" t="str">
        <x:v>google / organic</x:v>
      </x:c>
      <x:c r="D32" s="43" t="str">
        <x:v>Organic Search</x:v>
      </x:c>
      <x:c r="E32" s="43" t="str">
        <x:v>Mobile</x:v>
      </x:c>
      <x:c r="F32" s="43" t="str">
        <x:v>/collections/single-origin</x:v>
      </x:c>
      <x:c r="G32" s="44" t="n">
        <x:v>80</x:v>
      </x:c>
      <x:c r="H32" s="44" t="n">
        <x:v>38</x:v>
      </x:c>
      <x:c r="I32" s="44" t="n">
        <x:v>1</x:v>
      </x:c>
      <x:c r="J32" s="44" t="n">
        <x:v>0</x:v>
      </x:c>
      <x:c r="K32" s="45" t="n">
        <x:v>0</x:v>
      </x:c>
    </x:row>
    <x:row r="33">
      <x:c r="A33" s="42" t="d">
        <x:v>2026-08-31T00:00:00.000Z</x:v>
      </x:c>
      <x:c r="B33" s="43" t="str">
        <x:v>W04-0-1</x:v>
      </x:c>
      <x:c r="C33" s="43" t="str">
        <x:v>google / organic</x:v>
      </x:c>
      <x:c r="D33" s="43" t="str">
        <x:v>Organic Search</x:v>
      </x:c>
      <x:c r="E33" s="43" t="str">
        <x:v>Desktop</x:v>
      </x:c>
      <x:c r="F33" s="43" t="str">
        <x:v>/collections/single-origin</x:v>
      </x:c>
      <x:c r="G33" s="44" t="n">
        <x:v>80</x:v>
      </x:c>
      <x:c r="H33" s="44" t="n">
        <x:v>49</x:v>
      </x:c>
      <x:c r="I33" s="44" t="n">
        <x:v>9</x:v>
      </x:c>
      <x:c r="J33" s="44" t="n">
        <x:v>5</x:v>
      </x:c>
      <x:c r="K33" s="45" t="n">
        <x:v>189</x:v>
      </x:c>
    </x:row>
    <x:row r="34">
      <x:c r="A34" s="42" t="d">
        <x:v>2026-08-31T00:00:00.000Z</x:v>
      </x:c>
      <x:c r="B34" s="43" t="str">
        <x:v>W04-1-0</x:v>
      </x:c>
      <x:c r="C34" s="43" t="str">
        <x:v>google / cpc</x:v>
      </x:c>
      <x:c r="D34" s="43" t="str">
        <x:v>Paid Search</x:v>
      </x:c>
      <x:c r="E34" s="43" t="str">
        <x:v>Mobile</x:v>
      </x:c>
      <x:c r="F34" s="43" t="str">
        <x:v>/subscriptions</x:v>
      </x:c>
      <x:c r="G34" s="44" t="n">
        <x:v>80</x:v>
      </x:c>
      <x:c r="H34" s="44" t="n">
        <x:v>31</x:v>
      </x:c>
      <x:c r="I34" s="44" t="n">
        <x:v>1</x:v>
      </x:c>
      <x:c r="J34" s="44" t="n">
        <x:v>1</x:v>
      </x:c>
      <x:c r="K34" s="45" t="n">
        <x:v>38</x:v>
      </x:c>
    </x:row>
    <x:row r="35">
      <x:c r="A35" s="42" t="d">
        <x:v>2026-08-31T00:00:00.000Z</x:v>
      </x:c>
      <x:c r="B35" s="43" t="str">
        <x:v>W04-1-1</x:v>
      </x:c>
      <x:c r="C35" s="43" t="str">
        <x:v>google / cpc</x:v>
      </x:c>
      <x:c r="D35" s="43" t="str">
        <x:v>Paid Search</x:v>
      </x:c>
      <x:c r="E35" s="43" t="str">
        <x:v>Desktop</x:v>
      </x:c>
      <x:c r="F35" s="43" t="str">
        <x:v>/subscriptions</x:v>
      </x:c>
      <x:c r="G35" s="44" t="n">
        <x:v>80</x:v>
      </x:c>
      <x:c r="H35" s="44" t="n">
        <x:v>40</x:v>
      </x:c>
      <x:c r="I35" s="44" t="n">
        <x:v>8</x:v>
      </x:c>
      <x:c r="J35" s="44" t="n">
        <x:v>0</x:v>
      </x:c>
      <x:c r="K35" s="45" t="n">
        <x:v>0</x:v>
      </x:c>
    </x:row>
    <x:row r="36">
      <x:c r="A36" s="42" t="d">
        <x:v>2026-08-31T00:00:00.000Z</x:v>
      </x:c>
      <x:c r="B36" s="43" t="str">
        <x:v>W04-2-0</x:v>
      </x:c>
      <x:c r="C36" s="43" t="str">
        <x:v>instagram / organic</x:v>
      </x:c>
      <x:c r="D36" s="43" t="str">
        <x:v>Organic Social</x:v>
      </x:c>
      <x:c r="E36" s="43" t="str">
        <x:v>Mobile</x:v>
      </x:c>
      <x:c r="F36" s="43" t="str">
        <x:v>/learn/brew-guides</x:v>
      </x:c>
      <x:c r="G36" s="44" t="n">
        <x:v>80</x:v>
      </x:c>
      <x:c r="H36" s="44" t="n">
        <x:v>18</x:v>
      </x:c>
      <x:c r="I36" s="44" t="n">
        <x:v>0</x:v>
      </x:c>
      <x:c r="J36" s="44" t="n">
        <x:v>0</x:v>
      </x:c>
      <x:c r="K36" s="45" t="n">
        <x:v>0</x:v>
      </x:c>
    </x:row>
    <x:row r="37">
      <x:c r="A37" s="42" t="d">
        <x:v>2026-08-31T00:00:00.000Z</x:v>
      </x:c>
      <x:c r="B37" s="43" t="str">
        <x:v>W04-2-1</x:v>
      </x:c>
      <x:c r="C37" s="43" t="str">
        <x:v>instagram / organic</x:v>
      </x:c>
      <x:c r="D37" s="43" t="str">
        <x:v>Organic Social</x:v>
      </x:c>
      <x:c r="E37" s="43" t="str">
        <x:v>Desktop</x:v>
      </x:c>
      <x:c r="F37" s="43" t="str">
        <x:v>/learn/brew-guides</x:v>
      </x:c>
      <x:c r="G37" s="44" t="n">
        <x:v>80</x:v>
      </x:c>
      <x:c r="H37" s="44" t="n">
        <x:v>34</x:v>
      </x:c>
      <x:c r="I37" s="44" t="n">
        <x:v>3</x:v>
      </x:c>
      <x:c r="J37" s="44" t="n">
        <x:v>1</x:v>
      </x:c>
      <x:c r="K37" s="45" t="n">
        <x:v>45</x:v>
      </x:c>
    </x:row>
    <x:row r="38">
      <x:c r="A38" s="42" t="d">
        <x:v>2026-08-31T00:00:00.000Z</x:v>
      </x:c>
      <x:c r="B38" s="43" t="str">
        <x:v>W04-3-0</x:v>
      </x:c>
      <x:c r="C38" s="43" t="str">
        <x:v>newsletter / email</x:v>
      </x:c>
      <x:c r="D38" s="43" t="str">
        <x:v>Email</x:v>
      </x:c>
      <x:c r="E38" s="43" t="str">
        <x:v>Mobile</x:v>
      </x:c>
      <x:c r="F38" s="43" t="str">
        <x:v>/subscriptions</x:v>
      </x:c>
      <x:c r="G38" s="44" t="n">
        <x:v>80</x:v>
      </x:c>
      <x:c r="H38" s="44" t="n">
        <x:v>39</x:v>
      </x:c>
      <x:c r="I38" s="44" t="n">
        <x:v>3</x:v>
      </x:c>
      <x:c r="J38" s="44" t="n">
        <x:v>2</x:v>
      </x:c>
      <x:c r="K38" s="45" t="n">
        <x:v>90</x:v>
      </x:c>
    </x:row>
    <x:row r="39">
      <x:c r="A39" s="42" t="d">
        <x:v>2026-08-31T00:00:00.000Z</x:v>
      </x:c>
      <x:c r="B39" s="43" t="str">
        <x:v>W04-3-1</x:v>
      </x:c>
      <x:c r="C39" s="43" t="str">
        <x:v>newsletter / email</x:v>
      </x:c>
      <x:c r="D39" s="43" t="str">
        <x:v>Email</x:v>
      </x:c>
      <x:c r="E39" s="43" t="str">
        <x:v>Desktop</x:v>
      </x:c>
      <x:c r="F39" s="43" t="str">
        <x:v>/subscriptions</x:v>
      </x:c>
      <x:c r="G39" s="44" t="n">
        <x:v>80</x:v>
      </x:c>
      <x:c r="H39" s="44" t="n">
        <x:v>43</x:v>
      </x:c>
      <x:c r="I39" s="44" t="n">
        <x:v>11</x:v>
      </x:c>
      <x:c r="J39" s="44" t="n">
        <x:v>4</x:v>
      </x:c>
      <x:c r="K39" s="45" t="n">
        <x:v>168</x:v>
      </x:c>
    </x:row>
    <x:row r="40">
      <x:c r="A40" s="42" t="d">
        <x:v>2026-08-31T00:00:00.000Z</x:v>
      </x:c>
      <x:c r="B40" s="43" t="str">
        <x:v>W04-4-0</x:v>
      </x:c>
      <x:c r="C40" s="43" t="str">
        <x:v>(direct) / (none)</x:v>
      </x:c>
      <x:c r="D40" s="43" t="str">
        <x:v>Direct</x:v>
      </x:c>
      <x:c r="E40" s="43" t="str">
        <x:v>Mobile</x:v>
      </x:c>
      <x:c r="F40" s="43" t="str">
        <x:v>/</x:v>
      </x:c>
      <x:c r="G40" s="44" t="n">
        <x:v>80</x:v>
      </x:c>
      <x:c r="H40" s="44" t="n">
        <x:v>20</x:v>
      </x:c>
      <x:c r="I40" s="44" t="n">
        <x:v>3</x:v>
      </x:c>
      <x:c r="J40" s="44" t="n">
        <x:v>3</x:v>
      </x:c>
      <x:c r="K40" s="45" t="n">
        <x:v>111</x:v>
      </x:c>
    </x:row>
    <x:row r="41">
      <x:c r="A41" s="42" t="d">
        <x:v>2026-08-31T00:00:00.000Z</x:v>
      </x:c>
      <x:c r="B41" s="43" t="str">
        <x:v>W04-4-1</x:v>
      </x:c>
      <x:c r="C41" s="43" t="str">
        <x:v>(direct) / (none)</x:v>
      </x:c>
      <x:c r="D41" s="43" t="str">
        <x:v>Direct</x:v>
      </x:c>
      <x:c r="E41" s="43" t="str">
        <x:v>Desktop</x:v>
      </x:c>
      <x:c r="F41" s="43" t="str">
        <x:v>/</x:v>
      </x:c>
      <x:c r="G41" s="44" t="n">
        <x:v>80</x:v>
      </x:c>
      <x:c r="H41" s="44" t="n">
        <x:v>39</x:v>
      </x:c>
      <x:c r="I41" s="44" t="n">
        <x:v>5</x:v>
      </x:c>
      <x:c r="J41" s="44" t="n">
        <x:v>0</x:v>
      </x:c>
      <x:c r="K41" s="45" t="n">
        <x:v>0</x:v>
      </x:c>
    </x:row>
    <x:row r="42">
      <x:c r="A42" s="42" t="d">
        <x:v>2026-09-07T00:00:00.000Z</x:v>
      </x:c>
      <x:c r="B42" s="43" t="str">
        <x:v>W05-0-0</x:v>
      </x:c>
      <x:c r="C42" s="43" t="str">
        <x:v>google / organic</x:v>
      </x:c>
      <x:c r="D42" s="43" t="str">
        <x:v>Organic Search</x:v>
      </x:c>
      <x:c r="E42" s="43" t="str">
        <x:v>Mobile</x:v>
      </x:c>
      <x:c r="F42" s="43" t="str">
        <x:v>/collections/single-origin</x:v>
      </x:c>
      <x:c r="G42" s="44" t="n">
        <x:v>80</x:v>
      </x:c>
      <x:c r="H42" s="44" t="n">
        <x:v>37</x:v>
      </x:c>
      <x:c r="I42" s="44" t="n">
        <x:v>4</x:v>
      </x:c>
      <x:c r="J42" s="44" t="n">
        <x:v>2</x:v>
      </x:c>
      <x:c r="K42" s="45" t="n">
        <x:v>90</x:v>
      </x:c>
    </x:row>
    <x:row r="43">
      <x:c r="A43" s="42" t="d">
        <x:v>2026-09-07T00:00:00.000Z</x:v>
      </x:c>
      <x:c r="B43" s="43" t="str">
        <x:v>W05-0-1</x:v>
      </x:c>
      <x:c r="C43" s="43" t="str">
        <x:v>google / organic</x:v>
      </x:c>
      <x:c r="D43" s="43" t="str">
        <x:v>Organic Search</x:v>
      </x:c>
      <x:c r="E43" s="43" t="str">
        <x:v>Desktop</x:v>
      </x:c>
      <x:c r="F43" s="43" t="str">
        <x:v>/collections/single-origin</x:v>
      </x:c>
      <x:c r="G43" s="44" t="n">
        <x:v>80</x:v>
      </x:c>
      <x:c r="H43" s="44" t="n">
        <x:v>46</x:v>
      </x:c>
      <x:c r="I43" s="44" t="n">
        <x:v>11</x:v>
      </x:c>
      <x:c r="J43" s="44" t="n">
        <x:v>3</x:v>
      </x:c>
      <x:c r="K43" s="45" t="n">
        <x:v>124</x:v>
      </x:c>
    </x:row>
    <x:row r="44">
      <x:c r="A44" s="42" t="d">
        <x:v>2026-09-07T00:00:00.000Z</x:v>
      </x:c>
      <x:c r="B44" s="43" t="str">
        <x:v>W05-1-0</x:v>
      </x:c>
      <x:c r="C44" s="43" t="str">
        <x:v>google / cpc</x:v>
      </x:c>
      <x:c r="D44" s="43" t="str">
        <x:v>Paid Search</x:v>
      </x:c>
      <x:c r="E44" s="43" t="str">
        <x:v>Mobile</x:v>
      </x:c>
      <x:c r="F44" s="43" t="str">
        <x:v>/subscriptions</x:v>
      </x:c>
      <x:c r="G44" s="44" t="n">
        <x:v>80</x:v>
      </x:c>
      <x:c r="H44" s="44" t="n">
        <x:v>29</x:v>
      </x:c>
      <x:c r="I44" s="44" t="n">
        <x:v>2</x:v>
      </x:c>
      <x:c r="J44" s="44" t="n">
        <x:v>1</x:v>
      </x:c>
      <x:c r="K44" s="45" t="n">
        <x:v>38</x:v>
      </x:c>
    </x:row>
    <x:row r="45">
      <x:c r="A45" s="42" t="d">
        <x:v>2026-09-07T00:00:00.000Z</x:v>
      </x:c>
      <x:c r="B45" s="43" t="str">
        <x:v>W05-1-1</x:v>
      </x:c>
      <x:c r="C45" s="43" t="str">
        <x:v>google / cpc</x:v>
      </x:c>
      <x:c r="D45" s="43" t="str">
        <x:v>Paid Search</x:v>
      </x:c>
      <x:c r="E45" s="43" t="str">
        <x:v>Desktop</x:v>
      </x:c>
      <x:c r="F45" s="43" t="str">
        <x:v>/subscriptions</x:v>
      </x:c>
      <x:c r="G45" s="44" t="n">
        <x:v>80</x:v>
      </x:c>
      <x:c r="H45" s="44" t="n">
        <x:v>34</x:v>
      </x:c>
      <x:c r="I45" s="44" t="n">
        <x:v>7</x:v>
      </x:c>
      <x:c r="J45" s="44" t="n">
        <x:v>3</x:v>
      </x:c>
      <x:c r="K45" s="45" t="n">
        <x:v>142</x:v>
      </x:c>
    </x:row>
    <x:row r="46">
      <x:c r="A46" s="42" t="d">
        <x:v>2026-09-07T00:00:00.000Z</x:v>
      </x:c>
      <x:c r="B46" s="43" t="str">
        <x:v>W05-2-0</x:v>
      </x:c>
      <x:c r="C46" s="43" t="str">
        <x:v>instagram / organic</x:v>
      </x:c>
      <x:c r="D46" s="43" t="str">
        <x:v>Organic Social</x:v>
      </x:c>
      <x:c r="E46" s="43" t="str">
        <x:v>Mobile</x:v>
      </x:c>
      <x:c r="F46" s="43" t="str">
        <x:v>/learn/brew-guides</x:v>
      </x:c>
      <x:c r="G46" s="44" t="n">
        <x:v>80</x:v>
      </x:c>
      <x:c r="H46" s="44" t="n">
        <x:v>18</x:v>
      </x:c>
      <x:c r="I46" s="44" t="n">
        <x:v>2</x:v>
      </x:c>
      <x:c r="J46" s="44" t="n">
        <x:v>1</x:v>
      </x:c>
      <x:c r="K46" s="45" t="n">
        <x:v>45</x:v>
      </x:c>
    </x:row>
    <x:row r="47">
      <x:c r="A47" s="42" t="d">
        <x:v>2026-09-07T00:00:00.000Z</x:v>
      </x:c>
      <x:c r="B47" s="43" t="str">
        <x:v>W05-2-1</x:v>
      </x:c>
      <x:c r="C47" s="43" t="str">
        <x:v>instagram / organic</x:v>
      </x:c>
      <x:c r="D47" s="43" t="str">
        <x:v>Organic Social</x:v>
      </x:c>
      <x:c r="E47" s="43" t="str">
        <x:v>Desktop</x:v>
      </x:c>
      <x:c r="F47" s="43" t="str">
        <x:v>/learn/brew-guides</x:v>
      </x:c>
      <x:c r="G47" s="44" t="n">
        <x:v>80</x:v>
      </x:c>
      <x:c r="H47" s="44" t="n">
        <x:v>31</x:v>
      </x:c>
      <x:c r="I47" s="44" t="n">
        <x:v>6</x:v>
      </x:c>
      <x:c r="J47" s="44" t="n">
        <x:v>1</x:v>
      </x:c>
      <x:c r="K47" s="45" t="n">
        <x:v>38</x:v>
      </x:c>
    </x:row>
    <x:row r="48">
      <x:c r="A48" s="42" t="d">
        <x:v>2026-09-07T00:00:00.000Z</x:v>
      </x:c>
      <x:c r="B48" s="43" t="str">
        <x:v>W05-3-0</x:v>
      </x:c>
      <x:c r="C48" s="43" t="str">
        <x:v>newsletter / email</x:v>
      </x:c>
      <x:c r="D48" s="43" t="str">
        <x:v>Email</x:v>
      </x:c>
      <x:c r="E48" s="43" t="str">
        <x:v>Mobile</x:v>
      </x:c>
      <x:c r="F48" s="43" t="str">
        <x:v>/subscriptions</x:v>
      </x:c>
      <x:c r="G48" s="44" t="n">
        <x:v>80</x:v>
      </x:c>
      <x:c r="H48" s="44" t="n">
        <x:v>33</x:v>
      </x:c>
      <x:c r="I48" s="44" t="n">
        <x:v>9</x:v>
      </x:c>
      <x:c r="J48" s="44" t="n">
        <x:v>1</x:v>
      </x:c>
      <x:c r="K48" s="45" t="n">
        <x:v>52</x:v>
      </x:c>
    </x:row>
    <x:row r="49">
      <x:c r="A49" s="42" t="d">
        <x:v>2026-09-07T00:00:00.000Z</x:v>
      </x:c>
      <x:c r="B49" s="43" t="str">
        <x:v>W05-3-1</x:v>
      </x:c>
      <x:c r="C49" s="43" t="str">
        <x:v>newsletter / email</x:v>
      </x:c>
      <x:c r="D49" s="43" t="str">
        <x:v>Email</x:v>
      </x:c>
      <x:c r="E49" s="43" t="str">
        <x:v>Desktop</x:v>
      </x:c>
      <x:c r="F49" s="43" t="str">
        <x:v>/subscriptions</x:v>
      </x:c>
      <x:c r="G49" s="44" t="n">
        <x:v>80</x:v>
      </x:c>
      <x:c r="H49" s="44" t="n">
        <x:v>60</x:v>
      </x:c>
      <x:c r="I49" s="44" t="n">
        <x:v>14</x:v>
      </x:c>
      <x:c r="J49" s="44" t="n">
        <x:v>3</x:v>
      </x:c>
      <x:c r="K49" s="45" t="n">
        <x:v>130</x:v>
      </x:c>
    </x:row>
    <x:row r="50">
      <x:c r="A50" s="42" t="d">
        <x:v>2026-09-07T00:00:00.000Z</x:v>
      </x:c>
      <x:c r="B50" s="43" t="str">
        <x:v>W05-4-0</x:v>
      </x:c>
      <x:c r="C50" s="43" t="str">
        <x:v>(direct) / (none)</x:v>
      </x:c>
      <x:c r="D50" s="43" t="str">
        <x:v>Direct</x:v>
      </x:c>
      <x:c r="E50" s="43" t="str">
        <x:v>Mobile</x:v>
      </x:c>
      <x:c r="F50" s="43" t="str">
        <x:v>/</x:v>
      </x:c>
      <x:c r="G50" s="44" t="n">
        <x:v>80</x:v>
      </x:c>
      <x:c r="H50" s="44" t="n">
        <x:v>36</x:v>
      </x:c>
      <x:c r="I50" s="44" t="n">
        <x:v>4</x:v>
      </x:c>
      <x:c r="J50" s="44" t="n">
        <x:v>0</x:v>
      </x:c>
      <x:c r="K50" s="45" t="n">
        <x:v>0</x:v>
      </x:c>
    </x:row>
    <x:row r="51">
      <x:c r="A51" s="42" t="d">
        <x:v>2026-09-07T00:00:00.000Z</x:v>
      </x:c>
      <x:c r="B51" s="43" t="str">
        <x:v>W05-4-1</x:v>
      </x:c>
      <x:c r="C51" s="43" t="str">
        <x:v>(direct) / (none)</x:v>
      </x:c>
      <x:c r="D51" s="43" t="str">
        <x:v>Direct</x:v>
      </x:c>
      <x:c r="E51" s="43" t="str">
        <x:v>Desktop</x:v>
      </x:c>
      <x:c r="F51" s="43" t="str">
        <x:v>/</x:v>
      </x:c>
      <x:c r="G51" s="44" t="n">
        <x:v>80</x:v>
      </x:c>
      <x:c r="H51" s="44" t="n">
        <x:v>44</x:v>
      </x:c>
      <x:c r="I51" s="44" t="n">
        <x:v>7</x:v>
      </x:c>
      <x:c r="J51" s="44" t="n">
        <x:v>3</x:v>
      </x:c>
      <x:c r="K51" s="45" t="n">
        <x:v>129</x:v>
      </x:c>
    </x:row>
    <x:row r="52">
      <x:c r="A52" s="42" t="d">
        <x:v>2026-09-14T00:00:00.000Z</x:v>
      </x:c>
      <x:c r="B52" s="43" t="str">
        <x:v>W06-0-0</x:v>
      </x:c>
      <x:c r="C52" s="43" t="str">
        <x:v>google / organic</x:v>
      </x:c>
      <x:c r="D52" s="43" t="str">
        <x:v>Organic Search</x:v>
      </x:c>
      <x:c r="E52" s="43" t="str">
        <x:v>Mobile</x:v>
      </x:c>
      <x:c r="F52" s="43" t="str">
        <x:v>/collections/single-origin</x:v>
      </x:c>
      <x:c r="G52" s="44" t="n">
        <x:v>80</x:v>
      </x:c>
      <x:c r="H52" s="44" t="n">
        <x:v>40</x:v>
      </x:c>
      <x:c r="I52" s="44" t="n">
        <x:v>6</x:v>
      </x:c>
      <x:c r="J52" s="44" t="n">
        <x:v>0</x:v>
      </x:c>
      <x:c r="K52" s="45" t="n">
        <x:v>0</x:v>
      </x:c>
    </x:row>
    <x:row r="53">
      <x:c r="A53" s="42" t="d">
        <x:v>2026-09-14T00:00:00.000Z</x:v>
      </x:c>
      <x:c r="B53" s="43" t="str">
        <x:v>W06-0-1</x:v>
      </x:c>
      <x:c r="C53" s="43" t="str">
        <x:v>google / organic</x:v>
      </x:c>
      <x:c r="D53" s="43" t="str">
        <x:v>Organic Search</x:v>
      </x:c>
      <x:c r="E53" s="43" t="str">
        <x:v>Desktop</x:v>
      </x:c>
      <x:c r="F53" s="43" t="str">
        <x:v>/collections/single-origin</x:v>
      </x:c>
      <x:c r="G53" s="44" t="n">
        <x:v>80</x:v>
      </x:c>
      <x:c r="H53" s="44" t="n">
        <x:v>52</x:v>
      </x:c>
      <x:c r="I53" s="44" t="n">
        <x:v>15</x:v>
      </x:c>
      <x:c r="J53" s="44" t="n">
        <x:v>4</x:v>
      </x:c>
      <x:c r="K53" s="45" t="n">
        <x:v>180</x:v>
      </x:c>
    </x:row>
    <x:row r="54">
      <x:c r="A54" s="42" t="d">
        <x:v>2026-09-14T00:00:00.000Z</x:v>
      </x:c>
      <x:c r="B54" s="43" t="str">
        <x:v>W06-1-0</x:v>
      </x:c>
      <x:c r="C54" s="43" t="str">
        <x:v>google / cpc</x:v>
      </x:c>
      <x:c r="D54" s="43" t="str">
        <x:v>Paid Search</x:v>
      </x:c>
      <x:c r="E54" s="43" t="str">
        <x:v>Mobile</x:v>
      </x:c>
      <x:c r="F54" s="43" t="str">
        <x:v>/subscriptions</x:v>
      </x:c>
      <x:c r="G54" s="44" t="n">
        <x:v>80</x:v>
      </x:c>
      <x:c r="H54" s="44" t="n">
        <x:v>33</x:v>
      </x:c>
      <x:c r="I54" s="44" t="n">
        <x:v>6</x:v>
      </x:c>
      <x:c r="J54" s="44" t="n">
        <x:v>0</x:v>
      </x:c>
      <x:c r="K54" s="45" t="n">
        <x:v>0</x:v>
      </x:c>
    </x:row>
    <x:row r="55">
      <x:c r="A55" s="42" t="d">
        <x:v>2026-09-14T00:00:00.000Z</x:v>
      </x:c>
      <x:c r="B55" s="43" t="str">
        <x:v>W06-1-1</x:v>
      </x:c>
      <x:c r="C55" s="43" t="str">
        <x:v>google / cpc</x:v>
      </x:c>
      <x:c r="D55" s="43" t="str">
        <x:v>Paid Search</x:v>
      </x:c>
      <x:c r="E55" s="43" t="str">
        <x:v>Desktop</x:v>
      </x:c>
      <x:c r="F55" s="43" t="str">
        <x:v>/subscriptions</x:v>
      </x:c>
      <x:c r="G55" s="44" t="n">
        <x:v>80</x:v>
      </x:c>
      <x:c r="H55" s="44" t="n">
        <x:v>38</x:v>
      </x:c>
      <x:c r="I55" s="44" t="n">
        <x:v>9</x:v>
      </x:c>
      <x:c r="J55" s="44" t="n">
        <x:v>2</x:v>
      </x:c>
      <x:c r="K55" s="45" t="n">
        <x:v>90</x:v>
      </x:c>
    </x:row>
    <x:row r="56">
      <x:c r="A56" s="42" t="d">
        <x:v>2026-09-14T00:00:00.000Z</x:v>
      </x:c>
      <x:c r="B56" s="43" t="str">
        <x:v>W06-2-0</x:v>
      </x:c>
      <x:c r="C56" s="43" t="str">
        <x:v>instagram / organic</x:v>
      </x:c>
      <x:c r="D56" s="43" t="str">
        <x:v>Organic Social</x:v>
      </x:c>
      <x:c r="E56" s="43" t="str">
        <x:v>Mobile</x:v>
      </x:c>
      <x:c r="F56" s="43" t="str">
        <x:v>/learn/brew-guides</x:v>
      </x:c>
      <x:c r="G56" s="44" t="n">
        <x:v>80</x:v>
      </x:c>
      <x:c r="H56" s="44" t="n">
        <x:v>20</x:v>
      </x:c>
      <x:c r="I56" s="44" t="n">
        <x:v>0</x:v>
      </x:c>
      <x:c r="J56" s="44" t="n">
        <x:v>0</x:v>
      </x:c>
      <x:c r="K56" s="45" t="n">
        <x:v>0</x:v>
      </x:c>
    </x:row>
    <x:row r="57">
      <x:c r="A57" s="42" t="d">
        <x:v>2026-09-14T00:00:00.000Z</x:v>
      </x:c>
      <x:c r="B57" s="43" t="str">
        <x:v>W06-2-1</x:v>
      </x:c>
      <x:c r="C57" s="43" t="str">
        <x:v>instagram / organic</x:v>
      </x:c>
      <x:c r="D57" s="43" t="str">
        <x:v>Organic Social</x:v>
      </x:c>
      <x:c r="E57" s="43" t="str">
        <x:v>Desktop</x:v>
      </x:c>
      <x:c r="F57" s="43" t="str">
        <x:v>/learn/brew-guides</x:v>
      </x:c>
      <x:c r="G57" s="44" t="n">
        <x:v>80</x:v>
      </x:c>
      <x:c r="H57" s="44" t="n">
        <x:v>26</x:v>
      </x:c>
      <x:c r="I57" s="44" t="n">
        <x:v>5</x:v>
      </x:c>
      <x:c r="J57" s="44" t="n">
        <x:v>3</x:v>
      </x:c>
      <x:c r="K57" s="45" t="n">
        <x:v>107</x:v>
      </x:c>
    </x:row>
    <x:row r="58">
      <x:c r="A58" s="42" t="d">
        <x:v>2026-09-14T00:00:00.000Z</x:v>
      </x:c>
      <x:c r="B58" s="43" t="str">
        <x:v>W06-3-0</x:v>
      </x:c>
      <x:c r="C58" s="43" t="str">
        <x:v>newsletter / email</x:v>
      </x:c>
      <x:c r="D58" s="43" t="str">
        <x:v>Email</x:v>
      </x:c>
      <x:c r="E58" s="43" t="str">
        <x:v>Mobile</x:v>
      </x:c>
      <x:c r="F58" s="43" t="str">
        <x:v>/subscriptions</x:v>
      </x:c>
      <x:c r="G58" s="44" t="n">
        <x:v>80</x:v>
      </x:c>
      <x:c r="H58" s="44" t="n">
        <x:v>46</x:v>
      </x:c>
      <x:c r="I58" s="44" t="n">
        <x:v>6</x:v>
      </x:c>
      <x:c r="J58" s="44" t="n">
        <x:v>0</x:v>
      </x:c>
      <x:c r="K58" s="45" t="n">
        <x:v>0</x:v>
      </x:c>
    </x:row>
    <x:row r="59">
      <x:c r="A59" s="42" t="d">
        <x:v>2026-09-14T00:00:00.000Z</x:v>
      </x:c>
      <x:c r="B59" s="43" t="str">
        <x:v>W06-3-1</x:v>
      </x:c>
      <x:c r="C59" s="43" t="str">
        <x:v>newsletter / email</x:v>
      </x:c>
      <x:c r="D59" s="43" t="str">
        <x:v>Email</x:v>
      </x:c>
      <x:c r="E59" s="43" t="str">
        <x:v>Desktop</x:v>
      </x:c>
      <x:c r="F59" s="43" t="str">
        <x:v>/subscriptions</x:v>
      </x:c>
      <x:c r="G59" s="44" t="n">
        <x:v>80</x:v>
      </x:c>
      <x:c r="H59" s="44" t="n">
        <x:v>47</x:v>
      </x:c>
      <x:c r="I59" s="44" t="n">
        <x:v>13</x:v>
      </x:c>
      <x:c r="J59" s="44" t="n">
        <x:v>7</x:v>
      </x:c>
      <x:c r="K59" s="45" t="n">
        <x:v>316</x:v>
      </x:c>
    </x:row>
    <x:row r="60">
      <x:c r="A60" s="42" t="d">
        <x:v>2026-09-14T00:00:00.000Z</x:v>
      </x:c>
      <x:c r="B60" s="43" t="str">
        <x:v>W06-4-0</x:v>
      </x:c>
      <x:c r="C60" s="43" t="str">
        <x:v>(direct) / (none)</x:v>
      </x:c>
      <x:c r="D60" s="43" t="str">
        <x:v>Direct</x:v>
      </x:c>
      <x:c r="E60" s="43" t="str">
        <x:v>Mobile</x:v>
      </x:c>
      <x:c r="F60" s="43" t="str">
        <x:v>/</x:v>
      </x:c>
      <x:c r="G60" s="44" t="n">
        <x:v>80</x:v>
      </x:c>
      <x:c r="H60" s="44" t="n">
        <x:v>32</x:v>
      </x:c>
      <x:c r="I60" s="44" t="n">
        <x:v>3</x:v>
      </x:c>
      <x:c r="J60" s="44" t="n">
        <x:v>0</x:v>
      </x:c>
      <x:c r="K60" s="45" t="n">
        <x:v>0</x:v>
      </x:c>
    </x:row>
    <x:row r="61">
      <x:c r="A61" s="42" t="d">
        <x:v>2026-09-14T00:00:00.000Z</x:v>
      </x:c>
      <x:c r="B61" s="43" t="str">
        <x:v>W06-4-1</x:v>
      </x:c>
      <x:c r="C61" s="43" t="str">
        <x:v>(direct) / (none)</x:v>
      </x:c>
      <x:c r="D61" s="43" t="str">
        <x:v>Direct</x:v>
      </x:c>
      <x:c r="E61" s="43" t="str">
        <x:v>Desktop</x:v>
      </x:c>
      <x:c r="F61" s="43" t="str">
        <x:v>/</x:v>
      </x:c>
      <x:c r="G61" s="44" t="n">
        <x:v>80</x:v>
      </x:c>
      <x:c r="H61" s="44" t="n">
        <x:v>50</x:v>
      </x:c>
      <x:c r="I61" s="44" t="n">
        <x:v>12</x:v>
      </x:c>
      <x:c r="J61" s="44" t="n">
        <x:v>6</x:v>
      </x:c>
      <x:c r="K61" s="45" t="n">
        <x:v>258</x:v>
      </x:c>
    </x:row>
    <x:row r="62">
      <x:c r="A62" s="42" t="d">
        <x:v>2026-09-21T00:00:00.000Z</x:v>
      </x:c>
      <x:c r="B62" s="43" t="str">
        <x:v>W07-0-0</x:v>
      </x:c>
      <x:c r="C62" s="43" t="str">
        <x:v>google / organic</x:v>
      </x:c>
      <x:c r="D62" s="43" t="str">
        <x:v>Organic Search</x:v>
      </x:c>
      <x:c r="E62" s="43" t="str">
        <x:v>Mobile</x:v>
      </x:c>
      <x:c r="F62" s="43" t="str">
        <x:v>/collections/single-origin</x:v>
      </x:c>
      <x:c r="G62" s="44" t="n">
        <x:v>80</x:v>
      </x:c>
      <x:c r="H62" s="44" t="n">
        <x:v>42</x:v>
      </x:c>
      <x:c r="I62" s="44" t="n">
        <x:v>8</x:v>
      </x:c>
      <x:c r="J62" s="44" t="n">
        <x:v>1</x:v>
      </x:c>
      <x:c r="K62" s="45" t="n">
        <x:v>52</x:v>
      </x:c>
    </x:row>
    <x:row r="63">
      <x:c r="A63" s="42" t="d">
        <x:v>2026-09-21T00:00:00.000Z</x:v>
      </x:c>
      <x:c r="B63" s="43" t="str">
        <x:v>W07-0-1</x:v>
      </x:c>
      <x:c r="C63" s="43" t="str">
        <x:v>google / organic</x:v>
      </x:c>
      <x:c r="D63" s="43" t="str">
        <x:v>Organic Search</x:v>
      </x:c>
      <x:c r="E63" s="43" t="str">
        <x:v>Desktop</x:v>
      </x:c>
      <x:c r="F63" s="43" t="str">
        <x:v>/collections/single-origin</x:v>
      </x:c>
      <x:c r="G63" s="44" t="n">
        <x:v>80</x:v>
      </x:c>
      <x:c r="H63" s="44" t="n">
        <x:v>48</x:v>
      </x:c>
      <x:c r="I63" s="44" t="n">
        <x:v>8</x:v>
      </x:c>
      <x:c r="J63" s="44" t="n">
        <x:v>3</x:v>
      </x:c>
      <x:c r="K63" s="45" t="n">
        <x:v>116</x:v>
      </x:c>
    </x:row>
    <x:row r="64">
      <x:c r="A64" s="42" t="d">
        <x:v>2026-09-21T00:00:00.000Z</x:v>
      </x:c>
      <x:c r="B64" s="43" t="str">
        <x:v>W07-1-0</x:v>
      </x:c>
      <x:c r="C64" s="43" t="str">
        <x:v>google / cpc</x:v>
      </x:c>
      <x:c r="D64" s="43" t="str">
        <x:v>Paid Search</x:v>
      </x:c>
      <x:c r="E64" s="43" t="str">
        <x:v>Mobile</x:v>
      </x:c>
      <x:c r="F64" s="43" t="str">
        <x:v>/subscriptions</x:v>
      </x:c>
      <x:c r="G64" s="44" t="n">
        <x:v>80</x:v>
      </x:c>
      <x:c r="H64" s="44" t="n">
        <x:v>22</x:v>
      </x:c>
      <x:c r="I64" s="44" t="n">
        <x:v>4</x:v>
      </x:c>
      <x:c r="J64" s="44" t="n">
        <x:v>2</x:v>
      </x:c>
      <x:c r="K64" s="45" t="n">
        <x:v>79</x:v>
      </x:c>
    </x:row>
    <x:row r="65">
      <x:c r="A65" s="42" t="d">
        <x:v>2026-09-21T00:00:00.000Z</x:v>
      </x:c>
      <x:c r="B65" s="43" t="str">
        <x:v>W07-1-1</x:v>
      </x:c>
      <x:c r="C65" s="43" t="str">
        <x:v>google / cpc</x:v>
      </x:c>
      <x:c r="D65" s="43" t="str">
        <x:v>Paid Search</x:v>
      </x:c>
      <x:c r="E65" s="43" t="str">
        <x:v>Desktop</x:v>
      </x:c>
      <x:c r="F65" s="43" t="str">
        <x:v>/subscriptions</x:v>
      </x:c>
      <x:c r="G65" s="44" t="n">
        <x:v>80</x:v>
      </x:c>
      <x:c r="H65" s="44" t="n">
        <x:v>26</x:v>
      </x:c>
      <x:c r="I65" s="44" t="n">
        <x:v>5</x:v>
      </x:c>
      <x:c r="J65" s="44" t="n">
        <x:v>0</x:v>
      </x:c>
      <x:c r="K65" s="45" t="n">
        <x:v>0</x:v>
      </x:c>
    </x:row>
    <x:row r="66">
      <x:c r="A66" s="42" t="d">
        <x:v>2026-09-21T00:00:00.000Z</x:v>
      </x:c>
      <x:c r="B66" s="43" t="str">
        <x:v>W07-2-0</x:v>
      </x:c>
      <x:c r="C66" s="43" t="str">
        <x:v>instagram / organic</x:v>
      </x:c>
      <x:c r="D66" s="43" t="str">
        <x:v>Organic Social</x:v>
      </x:c>
      <x:c r="E66" s="43" t="str">
        <x:v>Mobile</x:v>
      </x:c>
      <x:c r="F66" s="43" t="str">
        <x:v>/learn/brew-guides</x:v>
      </x:c>
      <x:c r="G66" s="44" t="n">
        <x:v>80</x:v>
      </x:c>
      <x:c r="H66" s="44" t="n">
        <x:v>17</x:v>
      </x:c>
      <x:c r="I66" s="44" t="n">
        <x:v>1</x:v>
      </x:c>
      <x:c r="J66" s="44" t="n">
        <x:v>0</x:v>
      </x:c>
      <x:c r="K66" s="45" t="n">
        <x:v>0</x:v>
      </x:c>
    </x:row>
    <x:row r="67">
      <x:c r="A67" s="42" t="d">
        <x:v>2026-09-21T00:00:00.000Z</x:v>
      </x:c>
      <x:c r="B67" s="43" t="str">
        <x:v>W07-2-1</x:v>
      </x:c>
      <x:c r="C67" s="43" t="str">
        <x:v>instagram / organic</x:v>
      </x:c>
      <x:c r="D67" s="43" t="str">
        <x:v>Organic Social</x:v>
      </x:c>
      <x:c r="E67" s="43" t="str">
        <x:v>Desktop</x:v>
      </x:c>
      <x:c r="F67" s="43" t="str">
        <x:v>/learn/brew-guides</x:v>
      </x:c>
      <x:c r="G67" s="44" t="n">
        <x:v>80</x:v>
      </x:c>
      <x:c r="H67" s="44" t="n">
        <x:v>30</x:v>
      </x:c>
      <x:c r="I67" s="44" t="n">
        <x:v>4</x:v>
      </x:c>
      <x:c r="J67" s="44" t="n">
        <x:v>2</x:v>
      </x:c>
      <x:c r="K67" s="45" t="n">
        <x:v>79</x:v>
      </x:c>
    </x:row>
    <x:row r="68">
      <x:c r="A68" s="42" t="d">
        <x:v>2026-09-21T00:00:00.000Z</x:v>
      </x:c>
      <x:c r="B68" s="43" t="str">
        <x:v>W07-3-0</x:v>
      </x:c>
      <x:c r="C68" s="43" t="str">
        <x:v>newsletter / email</x:v>
      </x:c>
      <x:c r="D68" s="43" t="str">
        <x:v>Email</x:v>
      </x:c>
      <x:c r="E68" s="43" t="str">
        <x:v>Mobile</x:v>
      </x:c>
      <x:c r="F68" s="43" t="str">
        <x:v>/subscriptions</x:v>
      </x:c>
      <x:c r="G68" s="44" t="n">
        <x:v>80</x:v>
      </x:c>
      <x:c r="H68" s="44" t="n">
        <x:v>44</x:v>
      </x:c>
      <x:c r="I68" s="44" t="n">
        <x:v>6</x:v>
      </x:c>
      <x:c r="J68" s="44" t="n">
        <x:v>2</x:v>
      </x:c>
      <x:c r="K68" s="45" t="n">
        <x:v>83</x:v>
      </x:c>
    </x:row>
    <x:row r="69">
      <x:c r="A69" s="42" t="d">
        <x:v>2026-09-21T00:00:00.000Z</x:v>
      </x:c>
      <x:c r="B69" s="43" t="str">
        <x:v>W07-3-1</x:v>
      </x:c>
      <x:c r="C69" s="43" t="str">
        <x:v>newsletter / email</x:v>
      </x:c>
      <x:c r="D69" s="43" t="str">
        <x:v>Email</x:v>
      </x:c>
      <x:c r="E69" s="43" t="str">
        <x:v>Desktop</x:v>
      </x:c>
      <x:c r="F69" s="43" t="str">
        <x:v>/subscriptions</x:v>
      </x:c>
      <x:c r="G69" s="44" t="n">
        <x:v>80</x:v>
      </x:c>
      <x:c r="H69" s="44" t="n">
        <x:v>41</x:v>
      </x:c>
      <x:c r="I69" s="44" t="n">
        <x:v>13</x:v>
      </x:c>
      <x:c r="J69" s="44" t="n">
        <x:v>5</x:v>
      </x:c>
      <x:c r="K69" s="45" t="n">
        <x:v>213</x:v>
      </x:c>
    </x:row>
    <x:row r="70">
      <x:c r="A70" s="42" t="d">
        <x:v>2026-09-21T00:00:00.000Z</x:v>
      </x:c>
      <x:c r="B70" s="43" t="str">
        <x:v>W07-4-0</x:v>
      </x:c>
      <x:c r="C70" s="43" t="str">
        <x:v>(direct) / (none)</x:v>
      </x:c>
      <x:c r="D70" s="43" t="str">
        <x:v>Direct</x:v>
      </x:c>
      <x:c r="E70" s="43" t="str">
        <x:v>Mobile</x:v>
      </x:c>
      <x:c r="F70" s="43" t="str">
        <x:v>/</x:v>
      </x:c>
      <x:c r="G70" s="44" t="n">
        <x:v>80</x:v>
      </x:c>
      <x:c r="H70" s="44" t="n">
        <x:v>30</x:v>
      </x:c>
      <x:c r="I70" s="44" t="n">
        <x:v>8</x:v>
      </x:c>
      <x:c r="J70" s="44" t="n">
        <x:v>2</x:v>
      </x:c>
      <x:c r="K70" s="45" t="n">
        <x:v>83</x:v>
      </x:c>
    </x:row>
    <x:row r="71">
      <x:c r="A71" s="42" t="d">
        <x:v>2026-09-21T00:00:00.000Z</x:v>
      </x:c>
      <x:c r="B71" s="43" t="str">
        <x:v>W07-4-1</x:v>
      </x:c>
      <x:c r="C71" s="43" t="str">
        <x:v>(direct) / (none)</x:v>
      </x:c>
      <x:c r="D71" s="43" t="str">
        <x:v>Direct</x:v>
      </x:c>
      <x:c r="E71" s="43" t="str">
        <x:v>Desktop</x:v>
      </x:c>
      <x:c r="F71" s="43" t="str">
        <x:v>/</x:v>
      </x:c>
      <x:c r="G71" s="44" t="n">
        <x:v>80</x:v>
      </x:c>
      <x:c r="H71" s="44" t="n">
        <x:v>42</x:v>
      </x:c>
      <x:c r="I71" s="44" t="n">
        <x:v>12</x:v>
      </x:c>
      <x:c r="J71" s="44" t="n">
        <x:v>5</x:v>
      </x:c>
      <x:c r="K71" s="45" t="n">
        <x:v>232</x:v>
      </x:c>
    </x:row>
    <x:row r="72">
      <x:c r="A72" s="42" t="d">
        <x:v>2026-09-28T00:00:00.000Z</x:v>
      </x:c>
      <x:c r="B72" s="43" t="str">
        <x:v>W08-0-0</x:v>
      </x:c>
      <x:c r="C72" s="43" t="str">
        <x:v>google / organic</x:v>
      </x:c>
      <x:c r="D72" s="43" t="str">
        <x:v>Organic Search</x:v>
      </x:c>
      <x:c r="E72" s="43" t="str">
        <x:v>Mobile</x:v>
      </x:c>
      <x:c r="F72" s="43" t="str">
        <x:v>/collections/single-origin</x:v>
      </x:c>
      <x:c r="G72" s="44" t="n">
        <x:v>80</x:v>
      </x:c>
      <x:c r="H72" s="44" t="n">
        <x:v>43</x:v>
      </x:c>
      <x:c r="I72" s="44" t="n">
        <x:v>7</x:v>
      </x:c>
      <x:c r="J72" s="44" t="n">
        <x:v>2</x:v>
      </x:c>
      <x:c r="K72" s="45" t="n">
        <x:v>72</x:v>
      </x:c>
    </x:row>
    <x:row r="73">
      <x:c r="A73" s="42" t="d">
        <x:v>2026-09-28T00:00:00.000Z</x:v>
      </x:c>
      <x:c r="B73" s="43" t="str">
        <x:v>W08-0-1</x:v>
      </x:c>
      <x:c r="C73" s="43" t="str">
        <x:v>google / organic</x:v>
      </x:c>
      <x:c r="D73" s="43" t="str">
        <x:v>Organic Search</x:v>
      </x:c>
      <x:c r="E73" s="43" t="str">
        <x:v>Desktop</x:v>
      </x:c>
      <x:c r="F73" s="43" t="str">
        <x:v>/collections/single-origin</x:v>
      </x:c>
      <x:c r="G73" s="44" t="n">
        <x:v>80</x:v>
      </x:c>
      <x:c r="H73" s="44" t="n">
        <x:v>42</x:v>
      </x:c>
      <x:c r="I73" s="44" t="n">
        <x:v>8</x:v>
      </x:c>
      <x:c r="J73" s="44" t="n">
        <x:v>5</x:v>
      </x:c>
      <x:c r="K73" s="45" t="n">
        <x:v>196</x:v>
      </x:c>
    </x:row>
    <x:row r="74">
      <x:c r="A74" s="42" t="d">
        <x:v>2026-09-28T00:00:00.000Z</x:v>
      </x:c>
      <x:c r="B74" s="43" t="str">
        <x:v>W08-1-0</x:v>
      </x:c>
      <x:c r="C74" s="43" t="str">
        <x:v>google / cpc</x:v>
      </x:c>
      <x:c r="D74" s="43" t="str">
        <x:v>Paid Search</x:v>
      </x:c>
      <x:c r="E74" s="43" t="str">
        <x:v>Mobile</x:v>
      </x:c>
      <x:c r="F74" s="43" t="str">
        <x:v>/subscriptions</x:v>
      </x:c>
      <x:c r="G74" s="44" t="n">
        <x:v>80</x:v>
      </x:c>
      <x:c r="H74" s="44" t="n">
        <x:v>26</x:v>
      </x:c>
      <x:c r="I74" s="44" t="n">
        <x:v>3</x:v>
      </x:c>
      <x:c r="J74" s="44" t="n">
        <x:v>1</x:v>
      </x:c>
      <x:c r="K74" s="45" t="n">
        <x:v>38</x:v>
      </x:c>
    </x:row>
    <x:row r="75">
      <x:c r="A75" s="42" t="d">
        <x:v>2026-09-28T00:00:00.000Z</x:v>
      </x:c>
      <x:c r="B75" s="43" t="str">
        <x:v>W08-1-1</x:v>
      </x:c>
      <x:c r="C75" s="43" t="str">
        <x:v>google / cpc</x:v>
      </x:c>
      <x:c r="D75" s="43" t="str">
        <x:v>Paid Search</x:v>
      </x:c>
      <x:c r="E75" s="43" t="str">
        <x:v>Desktop</x:v>
      </x:c>
      <x:c r="F75" s="43" t="str">
        <x:v>/subscriptions</x:v>
      </x:c>
      <x:c r="G75" s="44" t="n">
        <x:v>80</x:v>
      </x:c>
      <x:c r="H75" s="44" t="n">
        <x:v>45</x:v>
      </x:c>
      <x:c r="I75" s="44" t="n">
        <x:v>5</x:v>
      </x:c>
      <x:c r="J75" s="44" t="n">
        <x:v>2</x:v>
      </x:c>
      <x:c r="K75" s="45" t="n">
        <x:v>90</x:v>
      </x:c>
    </x:row>
    <x:row r="76">
      <x:c r="A76" s="42" t="d">
        <x:v>2026-09-28T00:00:00.000Z</x:v>
      </x:c>
      <x:c r="B76" s="43" t="str">
        <x:v>W08-2-0</x:v>
      </x:c>
      <x:c r="C76" s="43" t="str">
        <x:v>instagram / organic</x:v>
      </x:c>
      <x:c r="D76" s="43" t="str">
        <x:v>Organic Social</x:v>
      </x:c>
      <x:c r="E76" s="43" t="str">
        <x:v>Mobile</x:v>
      </x:c>
      <x:c r="F76" s="43" t="str">
        <x:v>/learn/brew-guides</x:v>
      </x:c>
      <x:c r="G76" s="44" t="n">
        <x:v>80</x:v>
      </x:c>
      <x:c r="H76" s="44" t="n">
        <x:v>20</x:v>
      </x:c>
      <x:c r="I76" s="44" t="n">
        <x:v>2</x:v>
      </x:c>
      <x:c r="J76" s="44" t="n">
        <x:v>0</x:v>
      </x:c>
      <x:c r="K76" s="45" t="n">
        <x:v>0</x:v>
      </x:c>
    </x:row>
    <x:row r="77">
      <x:c r="A77" s="42" t="d">
        <x:v>2026-09-28T00:00:00.000Z</x:v>
      </x:c>
      <x:c r="B77" s="43" t="str">
        <x:v>W08-2-1</x:v>
      </x:c>
      <x:c r="C77" s="43" t="str">
        <x:v>instagram / organic</x:v>
      </x:c>
      <x:c r="D77" s="43" t="str">
        <x:v>Organic Social</x:v>
      </x:c>
      <x:c r="E77" s="43" t="str">
        <x:v>Desktop</x:v>
      </x:c>
      <x:c r="F77" s="43" t="str">
        <x:v>/learn/brew-guides</x:v>
      </x:c>
      <x:c r="G77" s="44" t="n">
        <x:v>80</x:v>
      </x:c>
      <x:c r="H77" s="44" t="n">
        <x:v>26</x:v>
      </x:c>
      <x:c r="I77" s="44" t="n">
        <x:v>5</x:v>
      </x:c>
      <x:c r="J77" s="44" t="n">
        <x:v>2</x:v>
      </x:c>
      <x:c r="K77" s="45" t="n">
        <x:v>77</x:v>
      </x:c>
    </x:row>
    <x:row r="78">
      <x:c r="A78" s="42" t="d">
        <x:v>2026-09-28T00:00:00.000Z</x:v>
      </x:c>
      <x:c r="B78" s="43" t="str">
        <x:v>W08-3-0</x:v>
      </x:c>
      <x:c r="C78" s="43" t="str">
        <x:v>newsletter / email</x:v>
      </x:c>
      <x:c r="D78" s="43" t="str">
        <x:v>Email</x:v>
      </x:c>
      <x:c r="E78" s="43" t="str">
        <x:v>Mobile</x:v>
      </x:c>
      <x:c r="F78" s="43" t="str">
        <x:v>/subscriptions</x:v>
      </x:c>
      <x:c r="G78" s="44" t="n">
        <x:v>80</x:v>
      </x:c>
      <x:c r="H78" s="44" t="n">
        <x:v>50</x:v>
      </x:c>
      <x:c r="I78" s="44" t="n">
        <x:v>5</x:v>
      </x:c>
      <x:c r="J78" s="44" t="n">
        <x:v>1</x:v>
      </x:c>
      <x:c r="K78" s="45" t="n">
        <x:v>39</x:v>
      </x:c>
    </x:row>
    <x:row r="79">
      <x:c r="A79" s="42" t="d">
        <x:v>2026-09-28T00:00:00.000Z</x:v>
      </x:c>
      <x:c r="B79" s="43" t="str">
        <x:v>W08-3-1</x:v>
      </x:c>
      <x:c r="C79" s="43" t="str">
        <x:v>newsletter / email</x:v>
      </x:c>
      <x:c r="D79" s="43" t="str">
        <x:v>Email</x:v>
      </x:c>
      <x:c r="E79" s="43" t="str">
        <x:v>Desktop</x:v>
      </x:c>
      <x:c r="F79" s="43" t="str">
        <x:v>/subscriptions</x:v>
      </x:c>
      <x:c r="G79" s="44" t="n">
        <x:v>80</x:v>
      </x:c>
      <x:c r="H79" s="44" t="n">
        <x:v>50</x:v>
      </x:c>
      <x:c r="I79" s="44" t="n">
        <x:v>9</x:v>
      </x:c>
      <x:c r="J79" s="44" t="n">
        <x:v>3</x:v>
      </x:c>
      <x:c r="K79" s="45" t="n">
        <x:v>118</x:v>
      </x:c>
    </x:row>
    <x:row r="80">
      <x:c r="A80" s="42" t="d">
        <x:v>2026-09-28T00:00:00.000Z</x:v>
      </x:c>
      <x:c r="B80" s="43" t="str">
        <x:v>W08-4-0</x:v>
      </x:c>
      <x:c r="C80" s="43" t="str">
        <x:v>(direct) / (none)</x:v>
      </x:c>
      <x:c r="D80" s="43" t="str">
        <x:v>Direct</x:v>
      </x:c>
      <x:c r="E80" s="43" t="str">
        <x:v>Mobile</x:v>
      </x:c>
      <x:c r="F80" s="43" t="str">
        <x:v>/</x:v>
      </x:c>
      <x:c r="G80" s="44" t="n">
        <x:v>80</x:v>
      </x:c>
      <x:c r="H80" s="44" t="n">
        <x:v>39</x:v>
      </x:c>
      <x:c r="I80" s="44" t="n">
        <x:v>7</x:v>
      </x:c>
      <x:c r="J80" s="44" t="n">
        <x:v>1</x:v>
      </x:c>
      <x:c r="K80" s="45" t="n">
        <x:v>38</x:v>
      </x:c>
    </x:row>
    <x:row r="81">
      <x:c r="A81" s="42" t="d">
        <x:v>2026-09-28T00:00:00.000Z</x:v>
      </x:c>
      <x:c r="B81" s="43" t="str">
        <x:v>W08-4-1</x:v>
      </x:c>
      <x:c r="C81" s="43" t="str">
        <x:v>(direct) / (none)</x:v>
      </x:c>
      <x:c r="D81" s="43" t="str">
        <x:v>Direct</x:v>
      </x:c>
      <x:c r="E81" s="43" t="str">
        <x:v>Desktop</x:v>
      </x:c>
      <x:c r="F81" s="43" t="str">
        <x:v>/</x:v>
      </x:c>
      <x:c r="G81" s="44" t="n">
        <x:v>80</x:v>
      </x:c>
      <x:c r="H81" s="44" t="n">
        <x:v>35</x:v>
      </x:c>
      <x:c r="I81" s="44" t="n">
        <x:v>11</x:v>
      </x:c>
      <x:c r="J81" s="44" t="n">
        <x:v>4</x:v>
      </x:c>
      <x:c r="K81" s="45" t="n">
        <x:v>152</x:v>
      </x:c>
    </x:row>
    <x:row r="82">
      <x:c r="A82" s="42" t="d">
        <x:v>2026-10-05T00:00:00.000Z</x:v>
      </x:c>
      <x:c r="B82" s="43" t="str">
        <x:v>W09-0-0</x:v>
      </x:c>
      <x:c r="C82" s="43" t="str">
        <x:v>google / organic</x:v>
      </x:c>
      <x:c r="D82" s="43" t="str">
        <x:v>Organic Search</x:v>
      </x:c>
      <x:c r="E82" s="43" t="str">
        <x:v>Mobile</x:v>
      </x:c>
      <x:c r="F82" s="43" t="str">
        <x:v>/collections/single-origin</x:v>
      </x:c>
      <x:c r="G82" s="44" t="n">
        <x:v>80</x:v>
      </x:c>
      <x:c r="H82" s="44" t="n">
        <x:v>44</x:v>
      </x:c>
      <x:c r="I82" s="44" t="n">
        <x:v>4</x:v>
      </x:c>
      <x:c r="J82" s="44" t="n">
        <x:v>3</x:v>
      </x:c>
      <x:c r="K82" s="45" t="n">
        <x:v>107</x:v>
      </x:c>
    </x:row>
    <x:row r="83">
      <x:c r="A83" s="42" t="d">
        <x:v>2026-10-05T00:00:00.000Z</x:v>
      </x:c>
      <x:c r="B83" s="43" t="str">
        <x:v>W09-0-1</x:v>
      </x:c>
      <x:c r="C83" s="43" t="str">
        <x:v>google / organic</x:v>
      </x:c>
      <x:c r="D83" s="43" t="str">
        <x:v>Organic Search</x:v>
      </x:c>
      <x:c r="E83" s="43" t="str">
        <x:v>Desktop</x:v>
      </x:c>
      <x:c r="F83" s="43" t="str">
        <x:v>/collections/single-origin</x:v>
      </x:c>
      <x:c r="G83" s="44" t="n">
        <x:v>80</x:v>
      </x:c>
      <x:c r="H83" s="44" t="n">
        <x:v>47</x:v>
      </x:c>
      <x:c r="I83" s="44" t="n">
        <x:v>11</x:v>
      </x:c>
      <x:c r="J83" s="44" t="n">
        <x:v>5</x:v>
      </x:c>
      <x:c r="K83" s="45" t="n">
        <x:v>208</x:v>
      </x:c>
    </x:row>
    <x:row r="84">
      <x:c r="A84" s="42" t="d">
        <x:v>2026-10-05T00:00:00.000Z</x:v>
      </x:c>
      <x:c r="B84" s="43" t="str">
        <x:v>W09-1-0</x:v>
      </x:c>
      <x:c r="C84" s="43" t="str">
        <x:v>google / cpc</x:v>
      </x:c>
      <x:c r="D84" s="43" t="str">
        <x:v>Paid Search</x:v>
      </x:c>
      <x:c r="E84" s="43" t="str">
        <x:v>Mobile</x:v>
      </x:c>
      <x:c r="F84" s="43" t="str">
        <x:v>/subscriptions</x:v>
      </x:c>
      <x:c r="G84" s="44" t="n">
        <x:v>80</x:v>
      </x:c>
      <x:c r="H84" s="44" t="n">
        <x:v>37</x:v>
      </x:c>
      <x:c r="I84" s="44" t="n">
        <x:v>7</x:v>
      </x:c>
      <x:c r="J84" s="44" t="n">
        <x:v>0</x:v>
      </x:c>
      <x:c r="K84" s="45" t="n">
        <x:v>0</x:v>
      </x:c>
    </x:row>
    <x:row r="85">
      <x:c r="A85" s="42" t="d">
        <x:v>2026-10-05T00:00:00.000Z</x:v>
      </x:c>
      <x:c r="B85" s="43" t="str">
        <x:v>W09-1-1</x:v>
      </x:c>
      <x:c r="C85" s="43" t="str">
        <x:v>google / cpc</x:v>
      </x:c>
      <x:c r="D85" s="43" t="str">
        <x:v>Paid Search</x:v>
      </x:c>
      <x:c r="E85" s="43" t="str">
        <x:v>Desktop</x:v>
      </x:c>
      <x:c r="F85" s="43" t="str">
        <x:v>/subscriptions</x:v>
      </x:c>
      <x:c r="G85" s="44" t="n">
        <x:v>80</x:v>
      </x:c>
      <x:c r="H85" s="44" t="n">
        <x:v>35</x:v>
      </x:c>
      <x:c r="I85" s="44" t="n">
        <x:v>9</x:v>
      </x:c>
      <x:c r="J85" s="44" t="n">
        <x:v>3</x:v>
      </x:c>
      <x:c r="K85" s="45" t="n">
        <x:v>142</x:v>
      </x:c>
    </x:row>
    <x:row r="86">
      <x:c r="A86" s="42" t="d">
        <x:v>2026-10-05T00:00:00.000Z</x:v>
      </x:c>
      <x:c r="B86" s="43" t="str">
        <x:v>W09-2-0</x:v>
      </x:c>
      <x:c r="C86" s="43" t="str">
        <x:v>instagram / organic</x:v>
      </x:c>
      <x:c r="D86" s="43" t="str">
        <x:v>Organic Social</x:v>
      </x:c>
      <x:c r="E86" s="43" t="str">
        <x:v>Mobile</x:v>
      </x:c>
      <x:c r="F86" s="43" t="str">
        <x:v>/learn/brew-guides</x:v>
      </x:c>
      <x:c r="G86" s="44" t="n">
        <x:v>80</x:v>
      </x:c>
      <x:c r="H86" s="44" t="n">
        <x:v>20</x:v>
      </x:c>
      <x:c r="I86" s="44" t="n">
        <x:v>3</x:v>
      </x:c>
      <x:c r="J86" s="44" t="n">
        <x:v>0</x:v>
      </x:c>
      <x:c r="K86" s="45" t="n">
        <x:v>0</x:v>
      </x:c>
    </x:row>
    <x:row r="87">
      <x:c r="A87" s="42" t="d">
        <x:v>2026-10-05T00:00:00.000Z</x:v>
      </x:c>
      <x:c r="B87" s="43" t="str">
        <x:v>W09-2-1</x:v>
      </x:c>
      <x:c r="C87" s="43" t="str">
        <x:v>instagram / organic</x:v>
      </x:c>
      <x:c r="D87" s="43" t="str">
        <x:v>Organic Social</x:v>
      </x:c>
      <x:c r="E87" s="43" t="str">
        <x:v>Desktop</x:v>
      </x:c>
      <x:c r="F87" s="43" t="str">
        <x:v>/learn/brew-guides</x:v>
      </x:c>
      <x:c r="G87" s="44" t="n">
        <x:v>80</x:v>
      </x:c>
      <x:c r="H87" s="44" t="n">
        <x:v>25</x:v>
      </x:c>
      <x:c r="I87" s="44" t="n">
        <x:v>3</x:v>
      </x:c>
      <x:c r="J87" s="44" t="n">
        <x:v>1</x:v>
      </x:c>
      <x:c r="K87" s="45" t="n">
        <x:v>45</x:v>
      </x:c>
    </x:row>
    <x:row r="88">
      <x:c r="A88" s="42" t="d">
        <x:v>2026-10-05T00:00:00.000Z</x:v>
      </x:c>
      <x:c r="B88" s="43" t="str">
        <x:v>W09-3-0</x:v>
      </x:c>
      <x:c r="C88" s="43" t="str">
        <x:v>newsletter / email</x:v>
      </x:c>
      <x:c r="D88" s="43" t="str">
        <x:v>Email</x:v>
      </x:c>
      <x:c r="E88" s="43" t="str">
        <x:v>Mobile</x:v>
      </x:c>
      <x:c r="F88" s="43" t="str">
        <x:v>/subscriptions</x:v>
      </x:c>
      <x:c r="G88" s="44" t="n">
        <x:v>80</x:v>
      </x:c>
      <x:c r="H88" s="44" t="n">
        <x:v>39</x:v>
      </x:c>
      <x:c r="I88" s="44" t="n">
        <x:v>9</x:v>
      </x:c>
      <x:c r="J88" s="44" t="n">
        <x:v>3</x:v>
      </x:c>
      <x:c r="K88" s="45" t="n">
        <x:v>118</x:v>
      </x:c>
    </x:row>
    <x:row r="89">
      <x:c r="A89" s="42" t="d">
        <x:v>2026-10-05T00:00:00.000Z</x:v>
      </x:c>
      <x:c r="B89" s="43" t="str">
        <x:v>W09-3-1</x:v>
      </x:c>
      <x:c r="C89" s="43" t="str">
        <x:v>newsletter / email</x:v>
      </x:c>
      <x:c r="D89" s="43" t="str">
        <x:v>Email</x:v>
      </x:c>
      <x:c r="E89" s="43" t="str">
        <x:v>Desktop</x:v>
      </x:c>
      <x:c r="F89" s="43" t="str">
        <x:v>/subscriptions</x:v>
      </x:c>
      <x:c r="G89" s="44" t="n">
        <x:v>80</x:v>
      </x:c>
      <x:c r="H89" s="44" t="n">
        <x:v>42</x:v>
      </x:c>
      <x:c r="I89" s="44" t="n">
        <x:v>14</x:v>
      </x:c>
      <x:c r="J89" s="44" t="n">
        <x:v>7</x:v>
      </x:c>
      <x:c r="K89" s="45" t="n">
        <x:v>272</x:v>
      </x:c>
    </x:row>
    <x:row r="90">
      <x:c r="A90" s="42" t="d">
        <x:v>2026-10-05T00:00:00.000Z</x:v>
      </x:c>
      <x:c r="B90" s="43" t="str">
        <x:v>W09-4-0</x:v>
      </x:c>
      <x:c r="C90" s="43" t="str">
        <x:v>(direct) / (none)</x:v>
      </x:c>
      <x:c r="D90" s="43" t="str">
        <x:v>Direct</x:v>
      </x:c>
      <x:c r="E90" s="43" t="str">
        <x:v>Mobile</x:v>
      </x:c>
      <x:c r="F90" s="43" t="str">
        <x:v>/</x:v>
      </x:c>
      <x:c r="G90" s="44" t="n">
        <x:v>80</x:v>
      </x:c>
      <x:c r="H90" s="44" t="n">
        <x:v>29</x:v>
      </x:c>
      <x:c r="I90" s="44" t="n">
        <x:v>2</x:v>
      </x:c>
      <x:c r="J90" s="44" t="n">
        <x:v>0</x:v>
      </x:c>
      <x:c r="K90" s="45" t="n">
        <x:v>0</x:v>
      </x:c>
    </x:row>
    <x:row r="91">
      <x:c r="A91" s="42" t="d">
        <x:v>2026-10-05T00:00:00.000Z</x:v>
      </x:c>
      <x:c r="B91" s="43" t="str">
        <x:v>W09-4-1</x:v>
      </x:c>
      <x:c r="C91" s="43" t="str">
        <x:v>(direct) / (none)</x:v>
      </x:c>
      <x:c r="D91" s="43" t="str">
        <x:v>Direct</x:v>
      </x:c>
      <x:c r="E91" s="43" t="str">
        <x:v>Desktop</x:v>
      </x:c>
      <x:c r="F91" s="43" t="str">
        <x:v>/</x:v>
      </x:c>
      <x:c r="G91" s="44" t="n">
        <x:v>80</x:v>
      </x:c>
      <x:c r="H91" s="44" t="n">
        <x:v>45</x:v>
      </x:c>
      <x:c r="I91" s="44" t="n">
        <x:v>14</x:v>
      </x:c>
      <x:c r="J91" s="44" t="n">
        <x:v>4</x:v>
      </x:c>
      <x:c r="K91" s="45" t="n">
        <x:v>157</x:v>
      </x:c>
    </x:row>
    <x:row r="92">
      <x:c r="A92" s="42" t="d">
        <x:v>2026-10-12T00:00:00.000Z</x:v>
      </x:c>
      <x:c r="B92" s="43" t="str">
        <x:v>W10-0-0</x:v>
      </x:c>
      <x:c r="C92" s="43" t="str">
        <x:v>google / organic</x:v>
      </x:c>
      <x:c r="D92" s="43" t="str">
        <x:v>Organic Search</x:v>
      </x:c>
      <x:c r="E92" s="43" t="str">
        <x:v>Mobile</x:v>
      </x:c>
      <x:c r="F92" s="43" t="str">
        <x:v>/collections/single-origin</x:v>
      </x:c>
      <x:c r="G92" s="44" t="n">
        <x:v>80</x:v>
      </x:c>
      <x:c r="H92" s="44" t="n">
        <x:v>33</x:v>
      </x:c>
      <x:c r="I92" s="44" t="n">
        <x:v>3</x:v>
      </x:c>
      <x:c r="J92" s="44" t="n">
        <x:v>2</x:v>
      </x:c>
      <x:c r="K92" s="45" t="n">
        <x:v>77</x:v>
      </x:c>
    </x:row>
    <x:row r="93">
      <x:c r="A93" s="42" t="d">
        <x:v>2026-10-12T00:00:00.000Z</x:v>
      </x:c>
      <x:c r="B93" s="43" t="str">
        <x:v>W10-0-1</x:v>
      </x:c>
      <x:c r="C93" s="43" t="str">
        <x:v>google / organic</x:v>
      </x:c>
      <x:c r="D93" s="43" t="str">
        <x:v>Organic Search</x:v>
      </x:c>
      <x:c r="E93" s="43" t="str">
        <x:v>Desktop</x:v>
      </x:c>
      <x:c r="F93" s="43" t="str">
        <x:v>/collections/single-origin</x:v>
      </x:c>
      <x:c r="G93" s="44" t="n">
        <x:v>80</x:v>
      </x:c>
      <x:c r="H93" s="44" t="n">
        <x:v>48</x:v>
      </x:c>
      <x:c r="I93" s="44" t="n">
        <x:v>10</x:v>
      </x:c>
      <x:c r="J93" s="44" t="n">
        <x:v>1</x:v>
      </x:c>
      <x:c r="K93" s="45" t="n">
        <x:v>38</x:v>
      </x:c>
    </x:row>
    <x:row r="94">
      <x:c r="A94" s="42" t="d">
        <x:v>2026-10-12T00:00:00.000Z</x:v>
      </x:c>
      <x:c r="B94" s="43" t="str">
        <x:v>W10-1-0</x:v>
      </x:c>
      <x:c r="C94" s="43" t="str">
        <x:v>google / cpc</x:v>
      </x:c>
      <x:c r="D94" s="43" t="str">
        <x:v>Paid Search</x:v>
      </x:c>
      <x:c r="E94" s="43" t="str">
        <x:v>Mobile</x:v>
      </x:c>
      <x:c r="F94" s="43" t="str">
        <x:v>/subscriptions</x:v>
      </x:c>
      <x:c r="G94" s="44" t="n">
        <x:v>80</x:v>
      </x:c>
      <x:c r="H94" s="44" t="n">
        <x:v>31</x:v>
      </x:c>
      <x:c r="I94" s="44" t="n">
        <x:v>1</x:v>
      </x:c>
      <x:c r="J94" s="44" t="n">
        <x:v>0</x:v>
      </x:c>
      <x:c r="K94" s="45" t="n">
        <x:v>0</x:v>
      </x:c>
    </x:row>
    <x:row r="95">
      <x:c r="A95" s="42" t="d">
        <x:v>2026-10-12T00:00:00.000Z</x:v>
      </x:c>
      <x:c r="B95" s="43" t="str">
        <x:v>W10-1-1</x:v>
      </x:c>
      <x:c r="C95" s="43" t="str">
        <x:v>google / cpc</x:v>
      </x:c>
      <x:c r="D95" s="43" t="str">
        <x:v>Paid Search</x:v>
      </x:c>
      <x:c r="E95" s="43" t="str">
        <x:v>Desktop</x:v>
      </x:c>
      <x:c r="F95" s="43" t="str">
        <x:v>/subscriptions</x:v>
      </x:c>
      <x:c r="G95" s="44" t="n">
        <x:v>80</x:v>
      </x:c>
      <x:c r="H95" s="44" t="n">
        <x:v>40</x:v>
      </x:c>
      <x:c r="I95" s="44" t="n">
        <x:v>6</x:v>
      </x:c>
      <x:c r="J95" s="44" t="n">
        <x:v>5</x:v>
      </x:c>
      <x:c r="K95" s="45" t="n">
        <x:v>205</x:v>
      </x:c>
    </x:row>
    <x:row r="96">
      <x:c r="A96" s="42" t="d">
        <x:v>2026-10-12T00:00:00.000Z</x:v>
      </x:c>
      <x:c r="B96" s="43" t="str">
        <x:v>W10-2-0</x:v>
      </x:c>
      <x:c r="C96" s="43" t="str">
        <x:v>instagram / organic</x:v>
      </x:c>
      <x:c r="D96" s="43" t="str">
        <x:v>Organic Social</x:v>
      </x:c>
      <x:c r="E96" s="43" t="str">
        <x:v>Mobile</x:v>
      </x:c>
      <x:c r="F96" s="43" t="str">
        <x:v>/learn/brew-guides</x:v>
      </x:c>
      <x:c r="G96" s="44" t="n">
        <x:v>80</x:v>
      </x:c>
      <x:c r="H96" s="44" t="n">
        <x:v>15</x:v>
      </x:c>
      <x:c r="I96" s="44" t="n">
        <x:v>2</x:v>
      </x:c>
      <x:c r="J96" s="44" t="n">
        <x:v>0</x:v>
      </x:c>
      <x:c r="K96" s="45" t="n">
        <x:v>0</x:v>
      </x:c>
    </x:row>
    <x:row r="97">
      <x:c r="A97" s="42" t="d">
        <x:v>2026-10-12T00:00:00.000Z</x:v>
      </x:c>
      <x:c r="B97" s="43" t="str">
        <x:v>W10-2-1</x:v>
      </x:c>
      <x:c r="C97" s="43" t="str">
        <x:v>instagram / organic</x:v>
      </x:c>
      <x:c r="D97" s="43" t="str">
        <x:v>Organic Social</x:v>
      </x:c>
      <x:c r="E97" s="43" t="str">
        <x:v>Desktop</x:v>
      </x:c>
      <x:c r="F97" s="43" t="str">
        <x:v>/learn/brew-guides</x:v>
      </x:c>
      <x:c r="G97" s="44" t="n">
        <x:v>80</x:v>
      </x:c>
      <x:c r="H97" s="44" t="n">
        <x:v>29</x:v>
      </x:c>
      <x:c r="I97" s="44" t="n">
        <x:v>6</x:v>
      </x:c>
      <x:c r="J97" s="44" t="n">
        <x:v>4</x:v>
      </x:c>
      <x:c r="K97" s="45" t="n">
        <x:v>167</x:v>
      </x:c>
    </x:row>
    <x:row r="98">
      <x:c r="A98" s="42" t="d">
        <x:v>2026-10-12T00:00:00.000Z</x:v>
      </x:c>
      <x:c r="B98" s="43" t="str">
        <x:v>W10-3-0</x:v>
      </x:c>
      <x:c r="C98" s="43" t="str">
        <x:v>newsletter / email</x:v>
      </x:c>
      <x:c r="D98" s="43" t="str">
        <x:v>Email</x:v>
      </x:c>
      <x:c r="E98" s="43" t="str">
        <x:v>Mobile</x:v>
      </x:c>
      <x:c r="F98" s="43" t="str">
        <x:v>/subscriptions</x:v>
      </x:c>
      <x:c r="G98" s="44" t="n">
        <x:v>80</x:v>
      </x:c>
      <x:c r="H98" s="44" t="n">
        <x:v>43</x:v>
      </x:c>
      <x:c r="I98" s="44" t="n">
        <x:v>5</x:v>
      </x:c>
      <x:c r="J98" s="44" t="n">
        <x:v>1</x:v>
      </x:c>
      <x:c r="K98" s="45" t="n">
        <x:v>39</x:v>
      </x:c>
    </x:row>
    <x:row r="99">
      <x:c r="A99" s="42" t="d">
        <x:v>2026-10-12T00:00:00.000Z</x:v>
      </x:c>
      <x:c r="B99" s="43" t="str">
        <x:v>W10-3-1</x:v>
      </x:c>
      <x:c r="C99" s="43" t="str">
        <x:v>newsletter / email</x:v>
      </x:c>
      <x:c r="D99" s="43" t="str">
        <x:v>Email</x:v>
      </x:c>
      <x:c r="E99" s="43" t="str">
        <x:v>Desktop</x:v>
      </x:c>
      <x:c r="F99" s="43" t="str">
        <x:v>/subscriptions</x:v>
      </x:c>
      <x:c r="G99" s="44" t="n">
        <x:v>80</x:v>
      </x:c>
      <x:c r="H99" s="44" t="n">
        <x:v>47</x:v>
      </x:c>
      <x:c r="I99" s="44" t="n">
        <x:v>9</x:v>
      </x:c>
      <x:c r="J99" s="44" t="n">
        <x:v>3</x:v>
      </x:c>
      <x:c r="K99" s="45" t="n">
        <x:v>117</x:v>
      </x:c>
    </x:row>
    <x:row r="100">
      <x:c r="A100" s="42" t="d">
        <x:v>2026-10-12T00:00:00.000Z</x:v>
      </x:c>
      <x:c r="B100" s="43" t="str">
        <x:v>W10-4-0</x:v>
      </x:c>
      <x:c r="C100" s="43" t="str">
        <x:v>(direct) / (none)</x:v>
      </x:c>
      <x:c r="D100" s="43" t="str">
        <x:v>Direct</x:v>
      </x:c>
      <x:c r="E100" s="43" t="str">
        <x:v>Mobile</x:v>
      </x:c>
      <x:c r="F100" s="43" t="str">
        <x:v>/</x:v>
      </x:c>
      <x:c r="G100" s="44" t="n">
        <x:v>80</x:v>
      </x:c>
      <x:c r="H100" s="44" t="n">
        <x:v>33</x:v>
      </x:c>
      <x:c r="I100" s="44" t="n">
        <x:v>4</x:v>
      </x:c>
      <x:c r="J100" s="44" t="n">
        <x:v>1</x:v>
      </x:c>
      <x:c r="K100" s="45" t="n">
        <x:v>52</x:v>
      </x:c>
    </x:row>
    <x:row r="101">
      <x:c r="A101" s="42" t="d">
        <x:v>2026-10-12T00:00:00.000Z</x:v>
      </x:c>
      <x:c r="B101" s="43" t="str">
        <x:v>W10-4-1</x:v>
      </x:c>
      <x:c r="C101" s="43" t="str">
        <x:v>(direct) / (none)</x:v>
      </x:c>
      <x:c r="D101" s="43" t="str">
        <x:v>Direct</x:v>
      </x:c>
      <x:c r="E101" s="43" t="str">
        <x:v>Desktop</x:v>
      </x:c>
      <x:c r="F101" s="43" t="str">
        <x:v>/</x:v>
      </x:c>
      <x:c r="G101" s="44" t="n">
        <x:v>80</x:v>
      </x:c>
      <x:c r="H101" s="44" t="n">
        <x:v>47</x:v>
      </x:c>
      <x:c r="I101" s="44" t="n">
        <x:v>11</x:v>
      </x:c>
      <x:c r="J101" s="44" t="n">
        <x:v>4</x:v>
      </x:c>
      <x:c r="K101" s="45" t="n">
        <x:v>180</x:v>
      </x:c>
    </x:row>
  </x:sheetData>
  <x:pageMargins left="0.7" right="0.7" top="0.75" bottom="0.75" header="0.3" footer="0.3"/>
</x:worksheet>
</file>

<file path=xl/worksheets/sheet3.xml><?xml version="1.0" encoding="utf-8"?>
<x:worksheet xmlns:x="http://schemas.openxmlformats.org/spreadsheetml/2006/main">
  <x:sheetViews>
    <x:sheetView workbookViewId="0">
      <x:pane ySplit="3" topLeftCell="A4" activePane="bottomLeft" state="frozen"/>
    </x:sheetView>
  </x:sheetViews>
  <x:sheetFormatPr defaultRowHeight="15"/>
  <x:cols>
    <x:col min="1" max="1" width="27" hidden="0" customWidth="1"/>
    <x:col min="2" max="2" width="42" hidden="0" customWidth="1"/>
    <x:col min="3" max="3" width="28" hidden="0" customWidth="1"/>
    <x:col min="4" max="4" width="80" hidden="0" customWidth="1"/>
  </x:cols>
  <x:sheetData>
    <x:row r="1" ht="36" customHeight="1">
      <x:c r="A1" s="46" t="str">
        <x:v>NORTHSTAR COFFEE  /  METHOD, EVENT MAP &amp; SQL</x:v>
      </x:c>
      <x:c r="B1" s="46"/>
      <x:c r="C1" s="46"/>
      <x:c r="D1" s="46"/>
    </x:row>
    <x:row r="3" ht="36" customHeight="1">
      <x:c r="A3" s="47" t="str">
        <x:v>Funnel stage</x:v>
      </x:c>
      <x:c r="B3" s="47" t="str">
        <x:v>GA4 event mapping (example)</x:v>
      </x:c>
      <x:c r="C3" s="47" t="str">
        <x:v>Session table field</x:v>
      </x:c>
      <x:c r="D3" s="47" t="str">
        <x:v>Definition</x:v>
      </x:c>
    </x:row>
    <x:row r="4" ht="58" customHeight="1">
      <x:c r="A4" s="48" t="str">
        <x:v>Entry session</x:v>
      </x:c>
      <x:c r="B4" s="48" t="str">
        <x:v>session_start / qualifying landing page view</x:v>
      </x:c>
      <x:c r="C4" s="48" t="str">
        <x:v>Sessions</x:v>
      </x:c>
      <x:c r="D4" s="48" t="str">
        <x:v>Count of eligible sessions in each cohort; apply internal traffic, bot, and consent rules consistently.</x:v>
      </x:c>
    </x:row>
    <x:row r="5" ht="58" customHeight="1">
      <x:c r="A5" s="48" t="str">
        <x:v>Product interest</x:v>
      </x:c>
      <x:c r="B5" s="48" t="str">
        <x:v>view_item or product page view</x:v>
      </x:c>
      <x:c r="C5" s="48" t="str">
        <x:v>Product view sessions</x:v>
      </x:c>
      <x:c r="D5" s="48" t="str">
        <x:v>Sessions reaching at least one product detail page.</x:v>
      </x:c>
    </x:row>
    <x:row r="6" ht="58" customHeight="1">
      <x:c r="A6" s="48" t="str">
        <x:v>Checkout intent</x:v>
      </x:c>
      <x:c r="B6" s="48" t="str">
        <x:v>begin_checkout or subscription checkout start</x:v>
      </x:c>
      <x:c r="C6" s="48" t="str">
        <x:v>Checkout starts</x:v>
      </x:c>
      <x:c r="D6" s="48" t="str">
        <x:v>Sessions with a checkout start.</x:v>
      </x:c>
    </x:row>
    <x:row r="7" ht="58" customHeight="1">
      <x:c r="A7" s="48" t="str">
        <x:v>Purchase</x:v>
      </x:c>
      <x:c r="B7" s="48" t="str">
        <x:v>purchase</x:v>
      </x:c>
      <x:c r="C7" s="48" t="str">
        <x:v>Purchase sessions + revenue</x:v>
      </x:c>
      <x:c r="D7" s="48" t="str">
        <x:v>Sessions completing a purchase; event-level data should deduplicate by transaction_id.</x:v>
      </x:c>
    </x:row>
    <x:row r="9">
      <x:c r="A9" s="14" t="str">
        <x:v>SQL EXAMPLE  /  Roll up cohort counts by channel</x:v>
      </x:c>
      <x:c r="B9" s="14"/>
      <x:c r="C9" s="14"/>
      <x:c r="D9" s="14"/>
    </x:row>
    <x:row r="10" ht="210" customHeight="1">
      <x:c r="A10" s="51" t="str">
        <x:v>SELECT
  default_channel_group,
  SUM(sessions) AS sessions,
  SUM(product_view_sessions) AS product_view_sessions,
  SUM(checkout_starts) AS checkout_starts,
  SUM(purchase_sessions) AS purchase_sessions,
  SAFE_DIVIDE(SUM(product_view_sessions), SUM(sessions)) AS product_view_rate,
  SAFE_DIVIDE(SUM(checkout_starts), SUM(product_view_sessions)) AS product_to_checkout_rate,
  SAFE_DIVIDE(SUM(purchase_sessions), SUM(checkout_starts)) AS checkout_to_purchase_rate
FROM session_funnel_cohorts
GROUP BY default_channel_group
ORDER BY sessions DESC;</x:v>
      </x:c>
      <x:c r="B10" s="51"/>
      <x:c r="C10" s="51"/>
      <x:c r="D10" s="51"/>
    </x:row>
    <x:row r="12">
      <x:c r="A12" s="14" t="str">
        <x:v>DATA DICTIONARY &amp; ASSUMPTIONS</x:v>
      </x:c>
      <x:c r="B12" s="14"/>
      <x:c r="C12" s="14"/>
      <x:c r="D12" s="14"/>
    </x:row>
    <x:row r="13" ht="40" customHeight="1">
      <x:c r="A13" s="54" t="str">
        <x:v>Population: synthetic Northstar Coffee sample. Period: 10 complete weeks, 10 Aug–18 Oct 2026. Grain: week × channel × device cohort. Stage counts are session totals reaching each sequential step, modeled before aggregation.
Rates: product view rate = product-view sessions ÷ sessions; product-to-checkout = checkout starts ÷ product-view sessions; checkout-to-purchase = purchase sessions ÷ checkout starts; session purchase rate = purchase sessions ÷ sessions. Drop-off rate uses the preceding stage as its denominator.
Caveats: This is not observed GA4 user behavior. Funnel steps, attribution windows, cross-device identity, consent mode, refunds, and repeat purchases are simplified. Differences across channel or device are descriptive, not causal. For real data, build the funnel from deduplicated events and validate sequence, time window, and event definitions.</x:v>
      </x:c>
      <x:c r="B13" s="54"/>
      <x:c r="C13" s="54"/>
      <x:c r="D13" s="54"/>
    </x:row>
    <x:row r="14" ht="40" customHeight="1">
      <x:c r="A14" s="54"/>
      <x:c r="B14" s="54"/>
      <x:c r="C14" s="54"/>
      <x:c r="D14" s="54"/>
    </x:row>
    <x:row r="15" ht="40" customHeight="1">
      <x:c r="A15" s="54"/>
      <x:c r="B15" s="54"/>
      <x:c r="C15" s="54"/>
      <x:c r="D15" s="54"/>
    </x:row>
    <x:row r="16" ht="40" customHeight="1">
      <x:c r="A16" s="54"/>
      <x:c r="B16" s="54"/>
      <x:c r="C16" s="54"/>
      <x:c r="D16" s="54"/>
    </x:row>
    <x:row r="17" ht="40" customHeight="1">
      <x:c r="A17" s="54"/>
      <x:c r="B17" s="54"/>
      <x:c r="C17" s="54"/>
      <x:c r="D17" s="54"/>
    </x:row>
  </x:sheetData>
  <x:mergeCells>
    <x:mergeCell ref="A1:D1"/>
    <x:mergeCell ref="A9:D9"/>
    <x:mergeCell ref="A10:D10"/>
    <x:mergeCell ref="A12:D12"/>
    <x:mergeCell ref="A13:D13"/>
    <x:mergeCell ref="A14:D14"/>
    <x:mergeCell ref="A15:D15"/>
    <x:mergeCell ref="A16:D16"/>
    <x:mergeCell ref="A17:D17"/>
  </x:mergeCells>
  <x:pageMargins left="0.7" right="0.7" top="0.75" bottom="0.75" header="0.3" footer="0.3"/>
</x:worksheet>
</file>